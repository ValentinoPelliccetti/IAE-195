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alen\Desktop\CREEBBA\IAE\Salud\"/>
    </mc:Choice>
  </mc:AlternateContent>
  <xr:revisionPtr revIDLastSave="0" documentId="13_ncr:1_{B3D61403-44E1-4433-9688-231D82DC03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e y gas Bahia Blanca" sheetId="1" r:id="rId1"/>
    <sheet name="Pre y gas Argentina" sheetId="3" r:id="rId2"/>
    <sheet name="Tasas de salud" sheetId="5" r:id="rId3"/>
    <sheet name="Paises %PBi y PBI p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F37" i="1"/>
  <c r="G36" i="1"/>
  <c r="G33" i="1"/>
  <c r="E6" i="5"/>
  <c r="E5" i="5"/>
  <c r="E4" i="5"/>
  <c r="E7" i="5"/>
  <c r="E3" i="5"/>
  <c r="E8" i="5" s="1"/>
  <c r="B24" i="1"/>
  <c r="D21" i="4"/>
  <c r="E20" i="4"/>
  <c r="E21" i="4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24" i="3"/>
  <c r="G17" i="3"/>
  <c r="D17" i="3"/>
  <c r="G16" i="3"/>
  <c r="D16" i="3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G6" i="3"/>
  <c r="D6" i="3"/>
  <c r="G5" i="3"/>
  <c r="D5" i="3"/>
  <c r="G4" i="3"/>
  <c r="D4" i="3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4" i="1"/>
  <c r="G24" i="1" s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G26" i="1"/>
  <c r="G27" i="1"/>
  <c r="G28" i="1"/>
  <c r="G29" i="1"/>
  <c r="G30" i="1"/>
  <c r="G31" i="1"/>
  <c r="G32" i="1"/>
  <c r="G34" i="1"/>
  <c r="G35" i="1"/>
  <c r="D2" i="1"/>
  <c r="D26" i="1"/>
  <c r="D27" i="1"/>
  <c r="D28" i="1"/>
  <c r="D29" i="1"/>
  <c r="D30" i="1"/>
  <c r="D31" i="1"/>
  <c r="D32" i="1"/>
  <c r="D33" i="1"/>
  <c r="D34" i="1"/>
  <c r="D35" i="1"/>
  <c r="D36" i="1"/>
  <c r="D3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D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8" i="3" l="1"/>
  <c r="G25" i="3"/>
  <c r="G37" i="3"/>
  <c r="G36" i="3"/>
  <c r="G35" i="3"/>
  <c r="G34" i="3"/>
  <c r="G33" i="3"/>
  <c r="G32" i="3"/>
  <c r="G31" i="3"/>
  <c r="G30" i="3"/>
  <c r="G29" i="3"/>
  <c r="G28" i="3"/>
  <c r="G27" i="3"/>
  <c r="G26" i="3"/>
  <c r="G24" i="3"/>
  <c r="D37" i="3"/>
  <c r="D36" i="3"/>
  <c r="D35" i="3"/>
  <c r="D34" i="3"/>
  <c r="D33" i="3"/>
  <c r="D32" i="3"/>
  <c r="D31" i="3"/>
  <c r="D30" i="3"/>
  <c r="D29" i="3"/>
  <c r="D27" i="3"/>
  <c r="D26" i="3"/>
  <c r="D25" i="3"/>
  <c r="D24" i="3"/>
  <c r="D24" i="1"/>
  <c r="G25" i="1"/>
  <c r="D25" i="1"/>
</calcChain>
</file>

<file path=xl/sharedStrings.xml><?xml version="1.0" encoding="utf-8"?>
<sst xmlns="http://schemas.openxmlformats.org/spreadsheetml/2006/main" count="103" uniqueCount="49">
  <si>
    <t>Año</t>
  </si>
  <si>
    <t>Presupuesto total</t>
  </si>
  <si>
    <t>Presupuesto total de salud</t>
  </si>
  <si>
    <t>Gastos totales</t>
  </si>
  <si>
    <t>Gastos totales en salud</t>
  </si>
  <si>
    <t>Porcentaje de salud sobre el total de gastos</t>
  </si>
  <si>
    <t>Porcentaje de salud sobre el presupuesto total</t>
  </si>
  <si>
    <t>Indice promedio anual</t>
  </si>
  <si>
    <t>10,1</t>
  </si>
  <si>
    <t>14</t>
  </si>
  <si>
    <t>17,8</t>
  </si>
  <si>
    <t>24,8</t>
  </si>
  <si>
    <t>31,1</t>
  </si>
  <si>
    <t>41,1</t>
  </si>
  <si>
    <t>61,9</t>
  </si>
  <si>
    <t>87,5</t>
  </si>
  <si>
    <t>126,2</t>
  </si>
  <si>
    <t>208</t>
  </si>
  <si>
    <t>467,7</t>
  </si>
  <si>
    <t>2.206,30</t>
  </si>
  <si>
    <t>Presupuesto en salud</t>
  </si>
  <si>
    <t>Gastos en salud</t>
  </si>
  <si>
    <t>Gasto en Salud sobre Gastos Totales - (eje derecho)</t>
  </si>
  <si>
    <t>Participacion del Presupuesto de Salud en el Presupuesto Total - (eje derecho)</t>
  </si>
  <si>
    <t>Valores a 2025</t>
  </si>
  <si>
    <t>Turquia</t>
  </si>
  <si>
    <t>Polonia</t>
  </si>
  <si>
    <t>Estonia</t>
  </si>
  <si>
    <t>Mexico</t>
  </si>
  <si>
    <t>Colombia</t>
  </si>
  <si>
    <t>Chile</t>
  </si>
  <si>
    <t>Argentina</t>
  </si>
  <si>
    <t>Brasil</t>
  </si>
  <si>
    <t>Corea del sur</t>
  </si>
  <si>
    <t>Italia</t>
  </si>
  <si>
    <t>España</t>
  </si>
  <si>
    <t>Inglaterra</t>
  </si>
  <si>
    <t>Francia</t>
  </si>
  <si>
    <t>Japon</t>
  </si>
  <si>
    <t>Suiza</t>
  </si>
  <si>
    <t>Alemania</t>
  </si>
  <si>
    <t>OECD</t>
  </si>
  <si>
    <t>LATAM</t>
  </si>
  <si>
    <t>Gasto en salud (% PBI)</t>
  </si>
  <si>
    <r>
      <t xml:space="preserve">PBI </t>
    </r>
    <r>
      <rPr>
        <i/>
        <sz val="11"/>
        <color theme="1"/>
        <rFont val="Calibri"/>
        <family val="2"/>
        <scheme val="minor"/>
      </rPr>
      <t>per capita</t>
    </r>
  </si>
  <si>
    <t>Pais</t>
  </si>
  <si>
    <t>Total tasas</t>
  </si>
  <si>
    <t>Tasa de salud</t>
  </si>
  <si>
    <t>% tasa de salud sobre total de tasas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</si>
</sst>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&quot;$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/>
    <xf numFmtId="2" fontId="0" fillId="0" borderId="0" xfId="0" applyNumberFormat="1" applyAlignment="1">
      <alignment horizontal="right"/>
    </xf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165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3" fontId="0" fillId="0" borderId="8" xfId="0" applyNumberFormat="1" applyBorder="1"/>
    <xf numFmtId="0" fontId="0" fillId="0" borderId="9" xfId="0" applyBorder="1"/>
    <xf numFmtId="0" fontId="0" fillId="0" borderId="10" xfId="0" applyBorder="1"/>
    <xf numFmtId="3" fontId="0" fillId="0" borderId="11" xfId="0" applyNumberFormat="1" applyBorder="1"/>
    <xf numFmtId="9" fontId="0" fillId="0" borderId="0" xfId="0" applyNumberFormat="1"/>
    <xf numFmtId="9" fontId="0" fillId="0" borderId="1" xfId="0" applyNumberFormat="1" applyBorder="1"/>
    <xf numFmtId="0" fontId="1" fillId="3" borderId="0" xfId="1" applyFont="1" applyAlignment="1">
      <alignment horizontal="center"/>
    </xf>
    <xf numFmtId="0" fontId="3" fillId="3" borderId="0" xfId="1" applyAlignment="1">
      <alignment horizontal="center"/>
    </xf>
    <xf numFmtId="10" fontId="0" fillId="0" borderId="1" xfId="0" applyNumberFormat="1" applyBorder="1"/>
  </cellXfs>
  <cellStyles count="2">
    <cellStyle name="Énfasis1" xfId="1" builtinId="29"/>
    <cellStyle name="Normal" xfId="0" builtinId="0"/>
  </cellStyles>
  <dxfs count="46"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&quot;$&quot;\ #,##0.00"/>
    </dxf>
    <dxf>
      <numFmt numFmtId="164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&quot;$&quot;\ #,##0.00"/>
    </dxf>
    <dxf>
      <numFmt numFmtId="164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$&quot;\ #,##0.00"/>
      <fill>
        <patternFill patternType="solid">
          <fgColor theme="4"/>
          <bgColor theme="4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14" formatCode="0.00%"/>
    </dxf>
    <dxf>
      <numFmt numFmtId="164" formatCode="&quot;$&quot;\ #,##0.00"/>
    </dxf>
    <dxf>
      <numFmt numFmtId="164" formatCode="&quot;$&quot;\ #,##0.00"/>
    </dxf>
    <dxf>
      <numFmt numFmtId="14" formatCode="0.00%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&quot;$&quot;\ #,##0.00"/>
    </dxf>
    <dxf>
      <numFmt numFmtId="164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&quot;$&quot;\ #,##0.00"/>
    </dxf>
    <dxf>
      <numFmt numFmtId="164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$&quot;\ #,##0.00"/>
      <fill>
        <patternFill patternType="solid">
          <fgColor theme="4"/>
          <bgColor theme="4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13" formatCode="0%"/>
    </dxf>
    <dxf>
      <numFmt numFmtId="164" formatCode="&quot;$&quot;\ #,##0.00"/>
    </dxf>
    <dxf>
      <numFmt numFmtId="164" formatCode="&quot;$&quot;\ #,##0.00"/>
    </dxf>
    <dxf>
      <numFmt numFmtId="13" formatCode="0%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</dxfs>
  <tableStyles count="0" defaultTableStyle="TableStyleMedium9" defaultPivotStyle="PivotStyleLight16"/>
  <colors>
    <mruColors>
      <color rgb="FFAA4D8B"/>
      <color rgb="FF7F7F7F"/>
      <color rgb="FF4F81BD"/>
      <color rgb="FF8B56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5124331506923"/>
          <c:y val="2.2863079448955596E-2"/>
          <c:w val="0.80897251156743821"/>
          <c:h val="0.88583107702942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'Pre y gas Bahia Blanca'!$B$21</c:f>
              <c:strCache>
                <c:ptCount val="1"/>
                <c:pt idx="0">
                  <c:v>Presupuesto total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numRef>
              <c:f>'Pre y gas Bahia Blanca'!$A$24:$A$37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'Pre y gas Bahia Blanca'!$B$24:$B$37</c:f>
              <c:numCache>
                <c:formatCode>"$"\ #,##0</c:formatCode>
                <c:ptCount val="14"/>
                <c:pt idx="0">
                  <c:v>271220.2866334935</c:v>
                </c:pt>
                <c:pt idx="1">
                  <c:v>294306.67071089218</c:v>
                </c:pt>
                <c:pt idx="2">
                  <c:v>244887.46264892502</c:v>
                </c:pt>
                <c:pt idx="3">
                  <c:v>247868.39825898383</c:v>
                </c:pt>
                <c:pt idx="4">
                  <c:v>262925.33602097508</c:v>
                </c:pt>
                <c:pt idx="5">
                  <c:v>295706.30038344959</c:v>
                </c:pt>
                <c:pt idx="6">
                  <c:v>289761.38315202721</c:v>
                </c:pt>
                <c:pt idx="7">
                  <c:v>273927.05711580347</c:v>
                </c:pt>
                <c:pt idx="8">
                  <c:v>254024.01900693664</c:v>
                </c:pt>
                <c:pt idx="9">
                  <c:v>277587.52117391344</c:v>
                </c:pt>
                <c:pt idx="10">
                  <c:v>294718.89399577468</c:v>
                </c:pt>
                <c:pt idx="11">
                  <c:v>309732.31783140718</c:v>
                </c:pt>
                <c:pt idx="12">
                  <c:v>252254.83634182057</c:v>
                </c:pt>
                <c:pt idx="13">
                  <c:v>228032.83629722989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C80-4BE1-B581-7AFAA18C2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804079"/>
        <c:axId val="720814639"/>
      </c:barChart>
      <c:lineChart>
        <c:grouping val="standard"/>
        <c:varyColors val="0"/>
        <c:ser>
          <c:idx val="2"/>
          <c:order val="1"/>
          <c:tx>
            <c:strRef>
              <c:f>'Pre y gas Bahia Blanca'!$D$21</c:f>
              <c:strCache>
                <c:ptCount val="1"/>
                <c:pt idx="0">
                  <c:v>Participacion del Presupuesto de Salud en el Presupuesto Total - (eje derecho)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'Pre y gas Bahia Blanca'!$D$24:$D$37</c:f>
              <c:numCache>
                <c:formatCode>0%</c:formatCode>
                <c:ptCount val="14"/>
                <c:pt idx="0">
                  <c:v>0.18161751342918098</c:v>
                </c:pt>
                <c:pt idx="1">
                  <c:v>0.16286946118319195</c:v>
                </c:pt>
                <c:pt idx="2">
                  <c:v>0.19383072858071509</c:v>
                </c:pt>
                <c:pt idx="3">
                  <c:v>0.21084435228443466</c:v>
                </c:pt>
                <c:pt idx="4">
                  <c:v>0.2073613581130318</c:v>
                </c:pt>
                <c:pt idx="5">
                  <c:v>0.19812699453686466</c:v>
                </c:pt>
                <c:pt idx="6">
                  <c:v>0.21715749535371603</c:v>
                </c:pt>
                <c:pt idx="7">
                  <c:v>0.23817778430454531</c:v>
                </c:pt>
                <c:pt idx="8">
                  <c:v>0.24920046401395229</c:v>
                </c:pt>
                <c:pt idx="9">
                  <c:v>0.24969067166145967</c:v>
                </c:pt>
                <c:pt idx="10">
                  <c:v>0.23709203129247139</c:v>
                </c:pt>
                <c:pt idx="11">
                  <c:v>0.2467096906677694</c:v>
                </c:pt>
                <c:pt idx="12">
                  <c:v>0.27589464344135589</c:v>
                </c:pt>
                <c:pt idx="13">
                  <c:v>0.29624341346334693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5C80-4BE1-B581-7AFAA18C2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819919"/>
        <c:axId val="720803119"/>
      </c:lineChart>
      <c:catAx>
        <c:axId val="72080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20814639"/>
        <c:crosses val="autoZero"/>
        <c:auto val="1"/>
        <c:lblAlgn val="ctr"/>
        <c:lblOffset val="100"/>
        <c:noMultiLvlLbl val="0"/>
      </c:catAx>
      <c:valAx>
        <c:axId val="7208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s-AR"/>
                  <a:t>Millones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20804079"/>
        <c:crosses val="autoZero"/>
        <c:crossBetween val="between"/>
      </c:valAx>
      <c:valAx>
        <c:axId val="72080311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20819919"/>
        <c:crosses val="max"/>
        <c:crossBetween val="between"/>
      </c:valAx>
      <c:catAx>
        <c:axId val="720819919"/>
        <c:scaling>
          <c:orientation val="minMax"/>
        </c:scaling>
        <c:delete val="1"/>
        <c:axPos val="b"/>
        <c:majorTickMark val="none"/>
        <c:minorTickMark val="none"/>
        <c:tickLblPos val="nextTo"/>
        <c:crossAx val="720803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769709357232866"/>
          <c:y val="0.95499238251330365"/>
          <c:w val="0.75253478922343775"/>
          <c:h val="4.5007480175258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+mn-lt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 y gas Bahia Blanca'!$C$21</c:f>
              <c:strCache>
                <c:ptCount val="1"/>
                <c:pt idx="0">
                  <c:v>Presupuesto en salud</c:v>
                </c:pt>
              </c:strCache>
            </c:strRef>
          </c:tx>
          <c:spPr>
            <a:solidFill>
              <a:srgbClr val="AA4D8B"/>
            </a:solidFill>
            <a:ln>
              <a:solidFill>
                <a:srgbClr val="7030A0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AA4D8B">
                  <a:alpha val="98000"/>
                </a:srgbClr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C8-46E6-9B19-9270476F9E35}"/>
              </c:ext>
            </c:extLst>
          </c:dPt>
          <c:dPt>
            <c:idx val="11"/>
            <c:invertIfNegative val="0"/>
            <c:bubble3D val="0"/>
            <c:spPr>
              <a:solidFill>
                <a:srgbClr val="AA4D8B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C8-46E6-9B19-9270476F9E35}"/>
              </c:ext>
            </c:extLst>
          </c:dPt>
          <c:dPt>
            <c:idx val="12"/>
            <c:invertIfNegative val="0"/>
            <c:bubble3D val="0"/>
            <c:spPr>
              <a:solidFill>
                <a:srgbClr val="AA4D8B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C8-46E6-9B19-9270476F9E35}"/>
              </c:ext>
            </c:extLst>
          </c:dPt>
          <c:dPt>
            <c:idx val="13"/>
            <c:invertIfNegative val="0"/>
            <c:bubble3D val="0"/>
            <c:spPr>
              <a:solidFill>
                <a:srgbClr val="AA4D8B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C8-46E6-9B19-9270476F9E35}"/>
              </c:ext>
            </c:extLst>
          </c:dPt>
          <c:cat>
            <c:numRef>
              <c:f>'Pre y gas Bahia Blanca'!$A$24:$A$37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'Pre y gas Bahia Blanca'!$C$24:$C$37</c:f>
              <c:numCache>
                <c:formatCode>"$"\ #,##0</c:formatCode>
                <c:ptCount val="14"/>
                <c:pt idx="0">
                  <c:v>49258.354049924819</c:v>
                </c:pt>
                <c:pt idx="1">
                  <c:v>47933.568881302112</c:v>
                </c:pt>
                <c:pt idx="2">
                  <c:v>47466.715305523794</c:v>
                </c:pt>
                <c:pt idx="3">
                  <c:v>52261.651882695733</c:v>
                </c:pt>
                <c:pt idx="4">
                  <c:v>54520.554759634637</c:v>
                </c:pt>
                <c:pt idx="5">
                  <c:v>58587.400560588176</c:v>
                </c:pt>
                <c:pt idx="6">
                  <c:v>62923.856215522683</c:v>
                </c:pt>
                <c:pt idx="7">
                  <c:v>65243.339524906703</c:v>
                </c:pt>
                <c:pt idx="8">
                  <c:v>63302.903407217644</c:v>
                </c:pt>
                <c:pt idx="9">
                  <c:v>69311.014606754106</c:v>
                </c:pt>
                <c:pt idx="10">
                  <c:v>69875.501237728764</c:v>
                </c:pt>
                <c:pt idx="11">
                  <c:v>76413.964321997701</c:v>
                </c:pt>
                <c:pt idx="12">
                  <c:v>69595.758128884176</c:v>
                </c:pt>
                <c:pt idx="13">
                  <c:v>67553.225806419985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C8-46E6-9B19-9270476F9E35}"/>
            </c:ext>
          </c:extLst>
        </c:ser>
        <c:ser>
          <c:idx val="1"/>
          <c:order val="1"/>
          <c:tx>
            <c:strRef>
              <c:f>'Pre y gas Bahia Blanca'!$F$21</c:f>
              <c:strCache>
                <c:ptCount val="1"/>
                <c:pt idx="0">
                  <c:v>Gastos en salud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4F81BD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0C8-46E6-9B19-9270476F9E35}"/>
              </c:ext>
            </c:extLst>
          </c:dPt>
          <c:dPt>
            <c:idx val="11"/>
            <c:invertIfNegative val="0"/>
            <c:bubble3D val="0"/>
            <c:spPr>
              <a:solidFill>
                <a:srgbClr val="4F81BD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0C8-46E6-9B19-9270476F9E35}"/>
              </c:ext>
            </c:extLst>
          </c:dPt>
          <c:dPt>
            <c:idx val="12"/>
            <c:invertIfNegative val="0"/>
            <c:bubble3D val="0"/>
            <c:spPr>
              <a:solidFill>
                <a:srgbClr val="4F81BD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0C8-46E6-9B19-9270476F9E35}"/>
              </c:ext>
            </c:extLst>
          </c:dPt>
          <c:dPt>
            <c:idx val="13"/>
            <c:invertIfNegative val="0"/>
            <c:bubble3D val="0"/>
            <c:spPr>
              <a:solidFill>
                <a:srgbClr val="4F81BD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0C8-46E6-9B19-9270476F9E35}"/>
              </c:ext>
            </c:extLst>
          </c:dPt>
          <c:cat>
            <c:numRef>
              <c:f>'Pre y gas Bahia Blanca'!$A$24:$A$37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'Pre y gas Bahia Blanca'!$F$24:$F$37</c:f>
              <c:numCache>
                <c:formatCode>"$"\ #,##0</c:formatCode>
                <c:ptCount val="14"/>
                <c:pt idx="0">
                  <c:v>48902.073556811731</c:v>
                </c:pt>
                <c:pt idx="1">
                  <c:v>47342.541816545265</c:v>
                </c:pt>
                <c:pt idx="2">
                  <c:v>47532.950796992576</c:v>
                </c:pt>
                <c:pt idx="3">
                  <c:v>52549.921336542589</c:v>
                </c:pt>
                <c:pt idx="4">
                  <c:v>54821.437360821532</c:v>
                </c:pt>
                <c:pt idx="5">
                  <c:v>57280.980360373054</c:v>
                </c:pt>
                <c:pt idx="6">
                  <c:v>62036.002068706068</c:v>
                </c:pt>
                <c:pt idx="7">
                  <c:v>65007.193980350399</c:v>
                </c:pt>
                <c:pt idx="8">
                  <c:v>62612.34794226152</c:v>
                </c:pt>
                <c:pt idx="9">
                  <c:v>68655.208963271216</c:v>
                </c:pt>
                <c:pt idx="10">
                  <c:v>68550.775162287246</c:v>
                </c:pt>
                <c:pt idx="11">
                  <c:v>76052.293640782314</c:v>
                </c:pt>
                <c:pt idx="12">
                  <c:v>69414.466641144507</c:v>
                </c:pt>
                <c:pt idx="13">
                  <c:v>77747.007654779998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0C8-46E6-9B19-9270476F9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804079"/>
        <c:axId val="720814639"/>
      </c:barChart>
      <c:lineChart>
        <c:grouping val="standard"/>
        <c:varyColors val="0"/>
        <c:ser>
          <c:idx val="2"/>
          <c:order val="2"/>
          <c:tx>
            <c:strRef>
              <c:f>'Pre y gas Bahia Blanca'!$G$21</c:f>
              <c:strCache>
                <c:ptCount val="1"/>
                <c:pt idx="0">
                  <c:v>Gasto en Salud sobre Gastos Totales - (eje derecho)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50C8-46E6-9B19-9270476F9E35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50C8-46E6-9B19-9270476F9E35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50C8-46E6-9B19-9270476F9E35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50C8-46E6-9B19-9270476F9E35}"/>
              </c:ext>
            </c:extLst>
          </c:dPt>
          <c:val>
            <c:numRef>
              <c:f>'Pre y gas Bahia Blanca'!$G$24:$G$37</c:f>
              <c:numCache>
                <c:formatCode>0%</c:formatCode>
                <c:ptCount val="14"/>
                <c:pt idx="0">
                  <c:v>0.21420700546481061</c:v>
                </c:pt>
                <c:pt idx="1">
                  <c:v>0.19012630127525326</c:v>
                </c:pt>
                <c:pt idx="2">
                  <c:v>0.21022947873552297</c:v>
                </c:pt>
                <c:pt idx="3">
                  <c:v>0.22438816037038031</c:v>
                </c:pt>
                <c:pt idx="4">
                  <c:v>0.23325272906907499</c:v>
                </c:pt>
                <c:pt idx="5">
                  <c:v>0.22379852943170037</c:v>
                </c:pt>
                <c:pt idx="6">
                  <c:v>0.25185026752603928</c:v>
                </c:pt>
                <c:pt idx="7">
                  <c:v>0.25505669771149581</c:v>
                </c:pt>
                <c:pt idx="8">
                  <c:v>0.27571889565053781</c:v>
                </c:pt>
                <c:pt idx="9">
                  <c:v>0.27585988626680924</c:v>
                </c:pt>
                <c:pt idx="10">
                  <c:v>0.26110308455360476</c:v>
                </c:pt>
                <c:pt idx="11">
                  <c:v>0.25797123562217461</c:v>
                </c:pt>
                <c:pt idx="12" formatCode="0.00%">
                  <c:v>0.2863626429902581</c:v>
                </c:pt>
                <c:pt idx="13" formatCode="0.00%">
                  <c:v>0.27711939761610843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50C8-46E6-9B19-9270476F9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819919"/>
        <c:axId val="720803119"/>
      </c:lineChart>
      <c:catAx>
        <c:axId val="72080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20814639"/>
        <c:crosses val="autoZero"/>
        <c:auto val="1"/>
        <c:lblAlgn val="ctr"/>
        <c:lblOffset val="100"/>
        <c:noMultiLvlLbl val="0"/>
      </c:catAx>
      <c:valAx>
        <c:axId val="7208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s-AR" b="1">
                    <a:solidFill>
                      <a:sysClr val="windowText" lastClr="000000"/>
                    </a:solidFill>
                  </a:rPr>
                  <a:t>Millones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20804079"/>
        <c:crosses val="autoZero"/>
        <c:crossBetween val="between"/>
      </c:valAx>
      <c:valAx>
        <c:axId val="72080311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20819919"/>
        <c:crosses val="max"/>
        <c:crossBetween val="between"/>
      </c:valAx>
      <c:catAx>
        <c:axId val="720819919"/>
        <c:scaling>
          <c:orientation val="minMax"/>
        </c:scaling>
        <c:delete val="1"/>
        <c:axPos val="b"/>
        <c:majorTickMark val="none"/>
        <c:minorTickMark val="none"/>
        <c:tickLblPos val="nextTo"/>
        <c:crossAx val="720803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+mn-lt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5250077068693"/>
          <c:y val="3.6783146630998159E-2"/>
          <c:w val="0.80471936351903128"/>
          <c:h val="0.809151025491484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'Pre y gas Argentina'!$C$21</c:f>
              <c:strCache>
                <c:ptCount val="1"/>
                <c:pt idx="0">
                  <c:v>Presupuesto en salud</c:v>
                </c:pt>
              </c:strCache>
            </c:strRef>
          </c:tx>
          <c:spPr>
            <a:solidFill>
              <a:srgbClr val="AA4D8B"/>
            </a:solidFill>
            <a:ln>
              <a:solidFill>
                <a:srgbClr val="7030A0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AA4D8B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EB-43AD-870E-152CBDD6E997}"/>
              </c:ext>
            </c:extLst>
          </c:dPt>
          <c:dPt>
            <c:idx val="11"/>
            <c:invertIfNegative val="0"/>
            <c:bubble3D val="0"/>
            <c:spPr>
              <a:solidFill>
                <a:srgbClr val="AA4D8B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EB-43AD-870E-152CBDD6E997}"/>
              </c:ext>
            </c:extLst>
          </c:dPt>
          <c:dPt>
            <c:idx val="12"/>
            <c:invertIfNegative val="0"/>
            <c:bubble3D val="0"/>
            <c:spPr>
              <a:solidFill>
                <a:srgbClr val="AA4D8B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EB-43AD-870E-152CBDD6E997}"/>
              </c:ext>
            </c:extLst>
          </c:dPt>
          <c:dPt>
            <c:idx val="13"/>
            <c:invertIfNegative val="0"/>
            <c:bubble3D val="0"/>
            <c:spPr>
              <a:solidFill>
                <a:srgbClr val="AA4D8B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EB-43AD-870E-152CBDD6E997}"/>
              </c:ext>
            </c:extLst>
          </c:dPt>
          <c:cat>
            <c:numRef>
              <c:f>'Pre y gas Argentina'!$A$24:$A$37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'Pre y gas Argentina'!$C$24:$C$37</c:f>
              <c:numCache>
                <c:formatCode>"$"\ #,##0</c:formatCode>
                <c:ptCount val="14"/>
                <c:pt idx="0">
                  <c:v>5748965.7539113583</c:v>
                </c:pt>
                <c:pt idx="1">
                  <c:v>6763371.063118482</c:v>
                </c:pt>
                <c:pt idx="2">
                  <c:v>6503582.6544340728</c:v>
                </c:pt>
                <c:pt idx="3">
                  <c:v>7378734.4370342698</c:v>
                </c:pt>
                <c:pt idx="4">
                  <c:v>6852336.3117738711</c:v>
                </c:pt>
                <c:pt idx="5">
                  <c:v>6967915.0829535369</c:v>
                </c:pt>
                <c:pt idx="6">
                  <c:v>6628012.7490652064</c:v>
                </c:pt>
                <c:pt idx="7">
                  <c:v>6301839.8767806152</c:v>
                </c:pt>
                <c:pt idx="8">
                  <c:v>8920641.1743380576</c:v>
                </c:pt>
                <c:pt idx="9">
                  <c:v>10760287.787527021</c:v>
                </c:pt>
                <c:pt idx="10">
                  <c:v>7866136.3451075489</c:v>
                </c:pt>
                <c:pt idx="11">
                  <c:v>6889377.8883309821</c:v>
                </c:pt>
                <c:pt idx="12">
                  <c:v>6520785.4277208336</c:v>
                </c:pt>
                <c:pt idx="13">
                  <c:v>7354539.5190000003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EB-43AD-870E-152CBDD6E997}"/>
            </c:ext>
          </c:extLst>
        </c:ser>
        <c:ser>
          <c:idx val="1"/>
          <c:order val="1"/>
          <c:tx>
            <c:strRef>
              <c:f>'Pre y gas Argentina'!$F$21</c:f>
              <c:strCache>
                <c:ptCount val="1"/>
                <c:pt idx="0">
                  <c:v>Gastos en salud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4F81BD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8EB-43AD-870E-152CBDD6E997}"/>
              </c:ext>
            </c:extLst>
          </c:dPt>
          <c:dPt>
            <c:idx val="11"/>
            <c:invertIfNegative val="0"/>
            <c:bubble3D val="0"/>
            <c:spPr>
              <a:solidFill>
                <a:srgbClr val="4F81BD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8EB-43AD-870E-152CBDD6E997}"/>
              </c:ext>
            </c:extLst>
          </c:dPt>
          <c:dPt>
            <c:idx val="12"/>
            <c:invertIfNegative val="0"/>
            <c:bubble3D val="0"/>
            <c:spPr>
              <a:solidFill>
                <a:srgbClr val="4F81BD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8EB-43AD-870E-152CBDD6E997}"/>
              </c:ext>
            </c:extLst>
          </c:dPt>
          <c:dPt>
            <c:idx val="13"/>
            <c:invertIfNegative val="0"/>
            <c:bubble3D val="0"/>
            <c:spPr>
              <a:solidFill>
                <a:srgbClr val="4F81BD"/>
              </a:solidFill>
              <a:ln w="222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8EB-43AD-870E-152CBDD6E997}"/>
              </c:ext>
            </c:extLst>
          </c:dPt>
          <c:cat>
            <c:numRef>
              <c:f>'Pre y gas Argentina'!$A$24:$A$37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'Pre y gas Argentina'!$F$24:$F$37</c:f>
              <c:numCache>
                <c:formatCode>"$"\ #,##0</c:formatCode>
                <c:ptCount val="14"/>
                <c:pt idx="0">
                  <c:v>5339323.8660470378</c:v>
                </c:pt>
                <c:pt idx="1">
                  <c:v>6298538.455792808</c:v>
                </c:pt>
                <c:pt idx="2">
                  <c:v>6201773.9072486442</c:v>
                </c:pt>
                <c:pt idx="3">
                  <c:v>6951777.6778966859</c:v>
                </c:pt>
                <c:pt idx="4">
                  <c:v>6610959.5814575013</c:v>
                </c:pt>
                <c:pt idx="5">
                  <c:v>6739509.985981673</c:v>
                </c:pt>
                <c:pt idx="6">
                  <c:v>6373443.660247202</c:v>
                </c:pt>
                <c:pt idx="7">
                  <c:v>6035197.7362171263</c:v>
                </c:pt>
                <c:pt idx="8">
                  <c:v>8452389.2698802296</c:v>
                </c:pt>
                <c:pt idx="9">
                  <c:v>10554755.265908875</c:v>
                </c:pt>
                <c:pt idx="10">
                  <c:v>7351162.887304808</c:v>
                </c:pt>
                <c:pt idx="11">
                  <c:v>6437800.1360515291</c:v>
                </c:pt>
                <c:pt idx="12">
                  <c:v>6248835.6232646406</c:v>
                </c:pt>
                <c:pt idx="13">
                  <c:v>6879564.3059999999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8EB-43AD-870E-152CBDD6E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30"/>
        <c:axId val="720804079"/>
        <c:axId val="720814639"/>
      </c:barChart>
      <c:lineChart>
        <c:grouping val="standard"/>
        <c:varyColors val="0"/>
        <c:ser>
          <c:idx val="2"/>
          <c:order val="2"/>
          <c:tx>
            <c:strRef>
              <c:f>'Pre y gas Argentina'!$G$21</c:f>
              <c:strCache>
                <c:ptCount val="1"/>
                <c:pt idx="0">
                  <c:v>Gasto en Salud sobre Gastos Totales - (eje derecho)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98EB-43AD-870E-152CBDD6E997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98EB-43AD-870E-152CBDD6E997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98EB-43AD-870E-152CBDD6E997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98EB-43AD-870E-152CBDD6E997}"/>
              </c:ext>
            </c:extLst>
          </c:dPt>
          <c:val>
            <c:numRef>
              <c:f>'Pre y gas Argentina'!$G$24:$G$37</c:f>
              <c:numCache>
                <c:formatCode>0%</c:formatCode>
                <c:ptCount val="14"/>
                <c:pt idx="0">
                  <c:v>3.4889882900442412E-2</c:v>
                </c:pt>
                <c:pt idx="1">
                  <c:v>3.8054585995531492E-2</c:v>
                </c:pt>
                <c:pt idx="2">
                  <c:v>3.4691803875354095E-2</c:v>
                </c:pt>
                <c:pt idx="3">
                  <c:v>3.9175159705820729E-2</c:v>
                </c:pt>
                <c:pt idx="4">
                  <c:v>3.4869449200216514E-2</c:v>
                </c:pt>
                <c:pt idx="5">
                  <c:v>3.7051462210717964E-2</c:v>
                </c:pt>
                <c:pt idx="6">
                  <c:v>3.5989167005041255E-2</c:v>
                </c:pt>
                <c:pt idx="7">
                  <c:v>3.5556584877772766E-2</c:v>
                </c:pt>
                <c:pt idx="8">
                  <c:v>4.7878029563411743E-2</c:v>
                </c:pt>
                <c:pt idx="9">
                  <c:v>5.6092268307577464E-2</c:v>
                </c:pt>
                <c:pt idx="10">
                  <c:v>3.9538998844341047E-2</c:v>
                </c:pt>
                <c:pt idx="11">
                  <c:v>3.5889341186059333E-2</c:v>
                </c:pt>
                <c:pt idx="12">
                  <c:v>4.8850155490396632E-2</c:v>
                </c:pt>
                <c:pt idx="13">
                  <c:v>5.5987053140820635E-2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98EB-43AD-870E-152CBDD6E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819919"/>
        <c:axId val="720803119"/>
      </c:lineChart>
      <c:catAx>
        <c:axId val="72080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20814639"/>
        <c:crosses val="autoZero"/>
        <c:auto val="1"/>
        <c:lblAlgn val="ctr"/>
        <c:lblOffset val="100"/>
        <c:noMultiLvlLbl val="0"/>
      </c:catAx>
      <c:valAx>
        <c:axId val="7208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s-AR"/>
                  <a:t>Millones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20804079"/>
        <c:crosses val="autoZero"/>
        <c:crossBetween val="between"/>
      </c:valAx>
      <c:valAx>
        <c:axId val="72080311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20819919"/>
        <c:crosses val="max"/>
        <c:crossBetween val="between"/>
      </c:valAx>
      <c:catAx>
        <c:axId val="720819919"/>
        <c:scaling>
          <c:orientation val="minMax"/>
        </c:scaling>
        <c:delete val="1"/>
        <c:axPos val="b"/>
        <c:majorTickMark val="none"/>
        <c:minorTickMark val="none"/>
        <c:tickLblPos val="nextTo"/>
        <c:crossAx val="720803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just">
        <a:defRPr b="1">
          <a:solidFill>
            <a:sysClr val="windowText" lastClr="000000"/>
          </a:solidFill>
          <a:latin typeface="+mn-lt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214791816296"/>
          <c:y val="0.10000818256972874"/>
          <c:w val="0.85748886937277469"/>
          <c:h val="0.76628600731073293"/>
        </c:manualLayout>
      </c:layout>
      <c:scatterChart>
        <c:scatterStyle val="lineMarker"/>
        <c:varyColors val="0"/>
        <c:ser>
          <c:idx val="0"/>
          <c:order val="0"/>
          <c:tx>
            <c:strRef>
              <c:f>'Paises %PBi y PBI pc'!$E$3</c:f>
              <c:strCache>
                <c:ptCount val="1"/>
                <c:pt idx="0">
                  <c:v>PBI per capita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66A-4088-B138-760080C7AF7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2615E2A-A2C4-4A6E-A8F4-E1EEE60B41F9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66A-4088-B138-760080C7AF7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70E1EF-6B91-4F94-AC59-6C2F4CA7C5CF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66A-4088-B138-760080C7AF7E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anchor="ctr" anchorCtr="1"/>
                  <a:lstStyle/>
                  <a:p>
                    <a:pPr algn="ctr">
                      <a:defRPr sz="900" b="1" i="0" u="none" strike="noStrike" kern="1200" baseline="0">
                        <a:solidFill>
                          <a:sysClr val="windowText" lastClr="000000"/>
                        </a:solidFill>
                        <a:latin typeface="Calibri (Cuerpo)"/>
                        <a:ea typeface="+mn-ea"/>
                        <a:cs typeface="+mn-cs"/>
                      </a:defRPr>
                    </a:pPr>
                    <a:fld id="{C444D0B3-E947-47BB-B118-21D688E973A6}" type="CELLRANGE">
                      <a:rPr lang="en-US"/>
                      <a:pPr algn="ctr">
                        <a:defRPr/>
                      </a:pPr>
                      <a:t>[CELLRANGE]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Calibri (Cuerpo)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66A-4088-B138-760080C7AF7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A59A4CE-E1F8-43F8-BD1B-60E6EFE5CE3B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66A-4088-B138-760080C7AF7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409C410-1AB3-4A2D-ABA0-A21D50029A4B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66A-4088-B138-760080C7AF7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5B009A4-7A5C-49E7-8D20-0CEE149D595F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66A-4088-B138-760080C7AF7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054E40C-F70E-4913-9950-566EBA7F21EB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66A-4088-B138-760080C7AF7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F33ED6C-1F23-496E-BC59-1113D5EA6A14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66A-4088-B138-760080C7AF7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1E9722A-B4B7-4EE0-9BE6-9378A3D0144A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66A-4088-B138-760080C7AF7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0406611-0A23-4DEF-8CF5-B6EF197819E8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66A-4088-B138-760080C7AF7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246C5D4-9958-4FF3-9278-B5A28197DD47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66A-4088-B138-760080C7AF7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14497FC-D2A3-4CF2-B789-7C4D078D15D9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66A-4088-B138-760080C7AF7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07740B0-8552-4CD3-BD6E-6166F4CDEA0B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66A-4088-B138-760080C7AF7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79762D7-819D-4747-B12F-9A82086DE721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66A-4088-B138-760080C7AF7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9953B64-BF7E-4263-8565-02F2AACA81A4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66A-4088-B138-760080C7AF7E}"/>
                </c:ext>
              </c:extLst>
            </c:dLbl>
            <c:dLbl>
              <c:idx val="15"/>
              <c:layout>
                <c:manualLayout>
                  <c:x val="-1.9026713205707535E-2"/>
                  <c:y val="-3.3283548754283875E-2"/>
                </c:manualLayout>
              </c:layout>
              <c:tx>
                <c:rich>
                  <a:bodyPr/>
                  <a:lstStyle/>
                  <a:p>
                    <a:fld id="{2611D701-F0DB-47E2-B412-3F1438181389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566A-4088-B138-760080C7AF7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B385ACF-8A16-46D1-AEAE-1ADF865D2D34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66A-4088-B138-760080C7AF7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472AB84-FD51-40BA-83D0-D6035278816D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66A-4088-B138-760080C7A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libri (Cuerpo)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'Paises %PBi y PBI pc'!$D$4:$D$21</c:f>
              <c:numCache>
                <c:formatCode>General</c:formatCode>
                <c:ptCount val="18"/>
                <c:pt idx="0">
                  <c:v>4.7</c:v>
                </c:pt>
                <c:pt idx="1">
                  <c:v>8.1</c:v>
                </c:pt>
                <c:pt idx="2">
                  <c:v>7.8</c:v>
                </c:pt>
                <c:pt idx="3">
                  <c:v>5.9</c:v>
                </c:pt>
                <c:pt idx="4">
                  <c:v>8.1</c:v>
                </c:pt>
                <c:pt idx="5">
                  <c:v>10.5</c:v>
                </c:pt>
                <c:pt idx="6">
                  <c:v>10.27</c:v>
                </c:pt>
                <c:pt idx="7">
                  <c:v>9.73</c:v>
                </c:pt>
                <c:pt idx="8">
                  <c:v>8.4</c:v>
                </c:pt>
                <c:pt idx="9">
                  <c:v>8.4</c:v>
                </c:pt>
                <c:pt idx="10">
                  <c:v>9.1999999999999993</c:v>
                </c:pt>
                <c:pt idx="11">
                  <c:v>11.1</c:v>
                </c:pt>
                <c:pt idx="12">
                  <c:v>11.5</c:v>
                </c:pt>
                <c:pt idx="13">
                  <c:v>10.6</c:v>
                </c:pt>
                <c:pt idx="14">
                  <c:v>11.8</c:v>
                </c:pt>
                <c:pt idx="15">
                  <c:v>12.3</c:v>
                </c:pt>
                <c:pt idx="16">
                  <c:v>9.3000000000000007</c:v>
                </c:pt>
                <c:pt idx="17">
                  <c:v>8.9</c:v>
                </c:pt>
              </c:numCache>
            </c:numRef>
          </c:xVal>
          <c:yVal>
            <c:numRef>
              <c:f>'Paises %PBi y PBI pc'!$E$4:$E$21</c:f>
              <c:numCache>
                <c:formatCode>#,##0</c:formatCode>
                <c:ptCount val="18"/>
                <c:pt idx="0">
                  <c:v>43932</c:v>
                </c:pt>
                <c:pt idx="1">
                  <c:v>49239</c:v>
                </c:pt>
                <c:pt idx="2">
                  <c:v>49658</c:v>
                </c:pt>
                <c:pt idx="3">
                  <c:v>25543</c:v>
                </c:pt>
                <c:pt idx="4">
                  <c:v>22066</c:v>
                </c:pt>
                <c:pt idx="5">
                  <c:v>34083</c:v>
                </c:pt>
                <c:pt idx="6">
                  <c:v>30431</c:v>
                </c:pt>
                <c:pt idx="7">
                  <c:v>22338</c:v>
                </c:pt>
                <c:pt idx="8">
                  <c:v>58895</c:v>
                </c:pt>
                <c:pt idx="9">
                  <c:v>61088</c:v>
                </c:pt>
                <c:pt idx="10">
                  <c:v>56965</c:v>
                </c:pt>
                <c:pt idx="11">
                  <c:v>61319</c:v>
                </c:pt>
                <c:pt idx="12">
                  <c:v>61258</c:v>
                </c:pt>
                <c:pt idx="13">
                  <c:v>51775</c:v>
                </c:pt>
                <c:pt idx="14">
                  <c:v>94009</c:v>
                </c:pt>
                <c:pt idx="15">
                  <c:v>72693</c:v>
                </c:pt>
                <c:pt idx="16">
                  <c:v>53037.357142857145</c:v>
                </c:pt>
                <c:pt idx="17">
                  <c:v>26892.2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'Paises %PBi y PBI pc'!$C$4:$C$21</c15:f>
                <c15:dlblRangeCache>
                  <c:ptCount val="18"/>
                  <c:pt idx="0">
                    <c:v>Turquia</c:v>
                  </c:pt>
                  <c:pt idx="1">
                    <c:v>Polonia</c:v>
                  </c:pt>
                  <c:pt idx="2">
                    <c:v>Estonia</c:v>
                  </c:pt>
                  <c:pt idx="3">
                    <c:v>Mexico</c:v>
                  </c:pt>
                  <c:pt idx="4">
                    <c:v>Colombia</c:v>
                  </c:pt>
                  <c:pt idx="5">
                    <c:v>Chile</c:v>
                  </c:pt>
                  <c:pt idx="6">
                    <c:v>Argentina</c:v>
                  </c:pt>
                  <c:pt idx="7">
                    <c:v>Brasil</c:v>
                  </c:pt>
                  <c:pt idx="8">
                    <c:v>Corea del sur</c:v>
                  </c:pt>
                  <c:pt idx="9">
                    <c:v>Italia</c:v>
                  </c:pt>
                  <c:pt idx="10">
                    <c:v>España</c:v>
                  </c:pt>
                  <c:pt idx="11">
                    <c:v>Inglaterra</c:v>
                  </c:pt>
                  <c:pt idx="12">
                    <c:v>Francia</c:v>
                  </c:pt>
                  <c:pt idx="13">
                    <c:v>Japon</c:v>
                  </c:pt>
                  <c:pt idx="14">
                    <c:v>Suiza</c:v>
                  </c:pt>
                  <c:pt idx="15">
                    <c:v>Alemania</c:v>
                  </c:pt>
                  <c:pt idx="16">
                    <c:v>OECD</c:v>
                  </c:pt>
                  <c:pt idx="17">
                    <c:v>LATAM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66A-4088-B138-760080C7A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297695"/>
        <c:axId val="1217281375"/>
      </c:scatterChart>
      <c:valAx>
        <c:axId val="1217297695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Calibri (Cuerpo)"/>
                    <a:ea typeface="+mn-ea"/>
                    <a:cs typeface="+mn-cs"/>
                  </a:defRPr>
                </a:pPr>
                <a:r>
                  <a:rPr lang="es-AR"/>
                  <a:t>Gasto en salud (% PBI)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Calibri (Cuerpo)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libri (Cuerpo)"/>
                <a:ea typeface="+mn-ea"/>
                <a:cs typeface="+mn-cs"/>
              </a:defRPr>
            </a:pPr>
            <a:endParaRPr lang="es-AR"/>
          </a:p>
        </c:txPr>
        <c:crossAx val="1217281375"/>
        <c:crosses val="autoZero"/>
        <c:crossBetween val="midCat"/>
      </c:valAx>
      <c:valAx>
        <c:axId val="12172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Calibri (Cuerpo)"/>
                    <a:ea typeface="+mn-ea"/>
                    <a:cs typeface="+mn-cs"/>
                  </a:defRPr>
                </a:pPr>
                <a:r>
                  <a:rPr lang="es-AR"/>
                  <a:t>PBI per 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Calibri (Cuerpo)"/>
                  <a:ea typeface="+mn-ea"/>
                  <a:cs typeface="+mn-cs"/>
                </a:defRPr>
              </a:pPr>
              <a:endParaRPr lang="es-A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libri (Cuerpo)"/>
                <a:ea typeface="+mn-ea"/>
                <a:cs typeface="+mn-cs"/>
              </a:defRPr>
            </a:pPr>
            <a:endParaRPr lang="es-AR"/>
          </a:p>
        </c:txPr>
        <c:crossAx val="1217297695"/>
        <c:crosses val="autoZero"/>
        <c:crossBetween val="midCat"/>
      </c:valAx>
      <c:spPr>
        <a:solidFill>
          <a:schemeClr val="bg2">
            <a:lumMod val="9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Calibri (Cuerpo)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3014660</xdr:colOff>
      <xdr:row>39</xdr:row>
      <xdr:rowOff>14286</xdr:rowOff>
    </xdr:from>
    <xdr:to>
      <xdr:col>12</xdr:col>
      <xdr:colOff>9525</xdr:colOff>
      <xdr:row>57</xdr:row>
      <xdr:rowOff>161925</xdr:rowOff>
    </xdr:to>
    <xdr:graphicFrame macro="">
      <xdr:nvGraphicFramePr>
        <xdr:cNvPr id="137" name="Gráfico 136">
          <a:extLst>
            <a:ext uri="{FF2B5EF4-FFF2-40B4-BE49-F238E27FC236}">
              <a16:creationId xmlns:a16="http://schemas.microsoft.com/office/drawing/2014/main" id="{11C5686A-7FFC-59AA-45B5-07AFAD446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39</xdr:row>
      <xdr:rowOff>0</xdr:rowOff>
    </xdr:from>
    <xdr:to>
      <xdr:col>3</xdr:col>
      <xdr:colOff>2698115</xdr:colOff>
      <xdr:row>58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F66F38-4946-0A5D-C017-466AD4CD0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201083</xdr:colOff>
      <xdr:row>39</xdr:row>
      <xdr:rowOff>0</xdr:rowOff>
    </xdr:from>
    <xdr:to>
      <xdr:col>4</xdr:col>
      <xdr:colOff>519006</xdr:colOff>
      <xdr:row>58</xdr:row>
      <xdr:rowOff>178435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333446-CEB3-4506-B9B6-68B34E892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2</xdr:row>
      <xdr:rowOff>18184</xdr:rowOff>
    </xdr:from>
    <xdr:to>
      <xdr:col>14</xdr:col>
      <xdr:colOff>578827</xdr:colOff>
      <xdr:row>20</xdr:row>
      <xdr:rowOff>23313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79E532F-CD6B-AB18-03C3-7DD4278FA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6BE522-28E5-4382-9BDB-D69D02060F85}" name="Tabla1" displayName="Tabla1" ref="A1:H18" totalsRowShown="0" headerRowDxfId="45">
  <autoFilter ref="A1:H18" xr:uid="{556BE522-28E5-4382-9BDB-D69D02060F85}"/>
  <tableColumns count="8">
    <tableColumn id="1" xr3:uid="{3998FB4C-58E2-46BF-B86C-DD2093F308D4}" name="Año"/>
    <tableColumn id="2" xr3:uid="{64E14B9C-FD8B-42EB-B85B-33C8DB39B3C2}" name="Presupuesto total" dataDxfId="44"/>
    <tableColumn id="3" xr3:uid="{E738C3D9-4F9C-4B57-8268-F742238D17A5}" name="Presupuesto total de salud" dataDxfId="43"/>
    <tableColumn id="4" xr3:uid="{6954DD11-B175-4CA5-B673-E036121C3886}" name="Porcentaje de salud sobre el presupuesto total" dataDxfId="42">
      <calculatedColumnFormula>C2/B2</calculatedColumnFormula>
    </tableColumn>
    <tableColumn id="5" xr3:uid="{235BEC2A-4DE5-4931-8019-4087BB6F7A30}" name="Gastos totales" dataDxfId="41"/>
    <tableColumn id="6" xr3:uid="{2347099C-08F8-423F-9752-E9765DA32312}" name="Gastos totales en salud" dataDxfId="40"/>
    <tableColumn id="7" xr3:uid="{DAF248CB-FC7B-4584-B992-9A59EDC040FF}" name="Porcentaje de salud sobre el total de gastos" dataDxfId="39">
      <calculatedColumnFormula>F2/E2</calculatedColumnFormula>
    </tableColumn>
    <tableColumn id="8" xr3:uid="{B15C6E7C-39E5-44EA-B045-2B64E6B2181C}" name="Indice promedio anual" dataDxfId="3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128F8-64AA-4218-8BB0-8B1661FB300B}" name="Tabla2" displayName="Tabla2" ref="A21:H38" totalsRowShown="0" headerRowDxfId="37" tableBorderDxfId="36">
  <autoFilter ref="A21:H38" xr:uid="{1E1128F8-64AA-4218-8BB0-8B1661FB300B}"/>
  <tableColumns count="8">
    <tableColumn id="1" xr3:uid="{8D3ECD31-B78B-4165-A379-CC95751DCB8C}" name="Año" dataDxfId="35"/>
    <tableColumn id="2" xr3:uid="{FD94CC58-9CF8-4BBD-80CC-EC7794AEB672}" name="Presupuesto total" dataDxfId="34"/>
    <tableColumn id="3" xr3:uid="{F0875709-257D-4042-B512-FD96DEF95DF8}" name="Presupuesto en salud" dataDxfId="33"/>
    <tableColumn id="4" xr3:uid="{7A3F639F-A376-4AF9-81C7-C06093F52B7A}" name="Participacion del Presupuesto de Salud en el Presupuesto Total - (eje derecho)" dataDxfId="32"/>
    <tableColumn id="5" xr3:uid="{DB2960EC-020E-4959-A2A1-6D0532A389F2}" name="Gastos totales" dataDxfId="31"/>
    <tableColumn id="6" xr3:uid="{E5CA5255-A89A-4424-B355-54F807774273}" name="Gastos en salud" dataDxfId="30"/>
    <tableColumn id="7" xr3:uid="{E18D9ACC-C640-4945-8294-586A35712143}" name="Gasto en Salud sobre Gastos Totales - (eje derecho)" dataDxfId="29"/>
    <tableColumn id="8" xr3:uid="{2062EF23-4B57-4517-8512-0230B747746B}" name="Indice promedio anual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33CE9E-7966-4C47-BE4C-C65F5BFF993D}" name="Tabla14" displayName="Tabla14" ref="A1:H18" totalsRowShown="0" headerRowDxfId="27">
  <autoFilter ref="A1:H18" xr:uid="{CF33CE9E-7966-4C47-BE4C-C65F5BFF993D}"/>
  <tableColumns count="8">
    <tableColumn id="1" xr3:uid="{B5AFE336-C065-4056-8453-7E760F28E4FD}" name="Año"/>
    <tableColumn id="2" xr3:uid="{FB6F19A5-5857-4BA3-9888-EC628F83C6D9}" name="Presupuesto total" dataDxfId="26"/>
    <tableColumn id="3" xr3:uid="{CFDB8974-2511-4AE1-8132-2540C410F994}" name="Presupuesto total de salud" dataDxfId="25"/>
    <tableColumn id="4" xr3:uid="{4ABFAD26-4B09-4BDB-9C88-9A2B411088C4}" name="Porcentaje de salud sobre el presupuesto total" dataDxfId="24">
      <calculatedColumnFormula>C2/B2</calculatedColumnFormula>
    </tableColumn>
    <tableColumn id="5" xr3:uid="{CD5F60FB-46E6-4A27-B21C-8155D8CC8540}" name="Gastos totales" dataDxfId="23"/>
    <tableColumn id="6" xr3:uid="{58B9389C-9454-4526-A004-E9DC138A1DFE}" name="Gastos totales en salud" dataDxfId="22"/>
    <tableColumn id="7" xr3:uid="{2B96AF85-887C-4539-9323-DA924C3DA9A2}" name="Porcentaje de salud sobre el total de gastos" dataDxfId="21">
      <calculatedColumnFormula>F2/E2</calculatedColumnFormula>
    </tableColumn>
    <tableColumn id="8" xr3:uid="{52EFD022-3D1E-46C2-BC21-51DE2BE67B84}" name="Indice promedio anual" dataDxfId="2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01D4FC-7619-4F83-95C1-7F165B9BC166}" name="Tabla25" displayName="Tabla25" ref="A21:H38" totalsRowShown="0" headerRowDxfId="19" tableBorderDxfId="18">
  <autoFilter ref="A21:H38" xr:uid="{2401D4FC-7619-4F83-95C1-7F165B9BC166}"/>
  <tableColumns count="8">
    <tableColumn id="1" xr3:uid="{B6C6D139-3496-43AB-BA2A-08F560287591}" name="Año" dataDxfId="17"/>
    <tableColumn id="2" xr3:uid="{31DD191B-C785-4FF9-91EA-6F71281AF096}" name="Presupuesto total" dataDxfId="16"/>
    <tableColumn id="3" xr3:uid="{C5744C1C-FD17-4D66-B312-79B1A46868C7}" name="Presupuesto en salud" dataDxfId="15"/>
    <tableColumn id="4" xr3:uid="{BE87C858-DD07-447D-921A-16300BBEE950}" name="Participacion del Presupuesto de Salud en el Presupuesto Total - (eje derecho)" dataDxfId="14"/>
    <tableColumn id="5" xr3:uid="{9630ECC2-4C03-402D-9DFA-C8E6D782D914}" name="Gastos totales" dataDxfId="13"/>
    <tableColumn id="6" xr3:uid="{E639C7DE-61A3-41AA-B896-A3A82F8BE8CE}" name="Gastos en salud" dataDxfId="12"/>
    <tableColumn id="7" xr3:uid="{B3D2388D-747B-41D7-8CCA-0F4BAB057238}" name="Gasto en Salud sobre Gastos Totales - (eje derecho)" dataDxfId="11"/>
    <tableColumn id="8" xr3:uid="{5C439200-1958-4638-81A9-3275C6CC2C9E}" name="Indice promedio anual" dataDxfId="1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12981D-0372-43DE-9A97-9B97E613820B}" name="Tabla6" displayName="Tabla6" ref="B2:E8" totalsRowShown="0">
  <autoFilter ref="B2:E8" xr:uid="{9512981D-0372-43DE-9A97-9B97E613820B}"/>
  <sortState xmlns:xlrd2="http://schemas.microsoft.com/office/spreadsheetml/2017/richdata2" ref="B3:E8">
    <sortCondition ref="B2:B8"/>
  </sortState>
  <tableColumns count="4">
    <tableColumn id="1" xr3:uid="{A911C4CE-3B2C-4A5A-9ADE-B60581EF0087}" name="Año"/>
    <tableColumn id="2" xr3:uid="{3C677544-7BA0-4E68-B279-472A80AC4440}" name="Total tasas" dataDxfId="9"/>
    <tableColumn id="3" xr3:uid="{6B4CB20A-4485-45ED-B65B-C9AA64966D88}" name="Tasa de salud" dataDxfId="8"/>
    <tableColumn id="4" xr3:uid="{F92138A7-A258-49D5-A01A-54C5C81F5346}" name="% tasa de salud sobre total de tasas" dataDxfId="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6EAB73-0151-463F-A440-312A8D9C5CAA}" name="Tabla5" displayName="Tabla5" ref="C3:E21" totalsRowShown="0" headerRowDxfId="6" headerRowBorderDxfId="5" tableBorderDxfId="4" totalsRowBorderDxfId="3">
  <autoFilter ref="C3:E21" xr:uid="{726EAB73-0151-463F-A440-312A8D9C5CAA}"/>
  <tableColumns count="3">
    <tableColumn id="1" xr3:uid="{8BB23051-44B8-4BFA-B425-2906D76944B0}" name="Pais" dataDxfId="2"/>
    <tableColumn id="2" xr3:uid="{73F3C066-92AF-440E-B158-5885B8373DA1}" name="Gasto en salud (% PBI)" dataDxfId="1"/>
    <tableColumn id="3" xr3:uid="{A13D40D3-9DB3-49B4-9BA5-283A711218D3}" name="PBI per capit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34" workbookViewId="0">
      <selection activeCell="L34" sqref="L34"/>
    </sheetView>
  </sheetViews>
  <sheetFormatPr baseColWidth="10" defaultColWidth="9.140625" defaultRowHeight="15" x14ac:dyDescent="0.25"/>
  <cols>
    <col min="1" max="1" width="7" customWidth="1"/>
    <col min="2" max="2" width="19.42578125" customWidth="1"/>
    <col min="3" max="3" width="27.28515625" customWidth="1"/>
    <col min="4" max="4" width="45.28515625" bestFit="1" customWidth="1"/>
    <col min="5" max="5" width="18.85546875" bestFit="1" customWidth="1"/>
    <col min="6" max="6" width="24" bestFit="1" customWidth="1"/>
    <col min="7" max="7" width="12.5703125" customWidth="1"/>
    <col min="8" max="8" width="18" customWidth="1"/>
  </cols>
  <sheetData>
    <row r="1" spans="1:8" x14ac:dyDescent="0.25">
      <c r="A1" t="s">
        <v>0</v>
      </c>
      <c r="B1" s="1" t="s">
        <v>1</v>
      </c>
      <c r="C1" s="1" t="s">
        <v>2</v>
      </c>
      <c r="D1" s="2" t="s">
        <v>6</v>
      </c>
      <c r="E1" s="1" t="s">
        <v>3</v>
      </c>
      <c r="F1" s="1" t="s">
        <v>4</v>
      </c>
      <c r="G1" s="2" t="s">
        <v>5</v>
      </c>
      <c r="H1" s="1" t="s">
        <v>7</v>
      </c>
    </row>
    <row r="2" spans="1:8" x14ac:dyDescent="0.25">
      <c r="A2">
        <v>2010</v>
      </c>
      <c r="B2" s="1">
        <v>679876365.48000002</v>
      </c>
      <c r="C2" s="1">
        <v>27101952.079999998</v>
      </c>
      <c r="D2" s="19">
        <f>C2/B2</f>
        <v>3.9863059603293796E-2</v>
      </c>
      <c r="E2" s="1">
        <v>547595514.63999999</v>
      </c>
      <c r="F2" s="1">
        <v>26121126.100000001</v>
      </c>
      <c r="G2" s="19">
        <f>F2/E2</f>
        <v>4.7701497550016535E-2</v>
      </c>
      <c r="H2" s="5"/>
    </row>
    <row r="3" spans="1:8" x14ac:dyDescent="0.25">
      <c r="A3">
        <v>2011</v>
      </c>
      <c r="B3" s="1">
        <v>846999723.30999994</v>
      </c>
      <c r="C3" s="1">
        <v>122436724.81</v>
      </c>
      <c r="D3" s="19">
        <f t="shared" ref="D3:D17" si="0">C3/B3</f>
        <v>0.14455344132997838</v>
      </c>
      <c r="E3" s="1">
        <v>666731626.63999999</v>
      </c>
      <c r="F3" s="1">
        <v>120803951.17</v>
      </c>
      <c r="G3" s="19">
        <f t="shared" ref="G3:G18" si="1">F3/E3</f>
        <v>0.18118827177704558</v>
      </c>
      <c r="H3" s="5"/>
    </row>
    <row r="4" spans="1:8" x14ac:dyDescent="0.25">
      <c r="A4">
        <v>2012</v>
      </c>
      <c r="B4" s="1">
        <v>995732367.18999994</v>
      </c>
      <c r="C4" s="1">
        <v>180842436.56999999</v>
      </c>
      <c r="D4" s="19">
        <f t="shared" si="0"/>
        <v>0.181617513429181</v>
      </c>
      <c r="E4" s="1">
        <v>838135157.44000006</v>
      </c>
      <c r="F4" s="1">
        <v>179534422.25</v>
      </c>
      <c r="G4" s="19">
        <f t="shared" si="1"/>
        <v>0.21420700546481061</v>
      </c>
      <c r="H4" s="5">
        <v>8.1</v>
      </c>
    </row>
    <row r="5" spans="1:8" x14ac:dyDescent="0.25">
      <c r="A5">
        <v>2013</v>
      </c>
      <c r="B5" s="1">
        <v>1335271619.3699999</v>
      </c>
      <c r="C5" s="1">
        <v>217474969.18000001</v>
      </c>
      <c r="D5" s="19">
        <f t="shared" si="0"/>
        <v>0.16286946118319193</v>
      </c>
      <c r="E5" s="1">
        <v>1129740984.9100001</v>
      </c>
      <c r="F5" s="1">
        <v>214793474.86000001</v>
      </c>
      <c r="G5" s="19">
        <f t="shared" si="1"/>
        <v>0.19012630127525326</v>
      </c>
      <c r="H5" s="5">
        <v>10.01</v>
      </c>
    </row>
    <row r="6" spans="1:8" x14ac:dyDescent="0.25">
      <c r="A6">
        <v>2014</v>
      </c>
      <c r="B6" s="1">
        <v>1553924886.5</v>
      </c>
      <c r="C6" s="1">
        <v>301198392.91000003</v>
      </c>
      <c r="D6" s="19">
        <f t="shared" si="0"/>
        <v>0.19383072858071509</v>
      </c>
      <c r="E6" s="1">
        <v>1434711676.6600001</v>
      </c>
      <c r="F6" s="1">
        <v>301618687.92000002</v>
      </c>
      <c r="G6" s="19">
        <f t="shared" si="1"/>
        <v>0.21022947873552297</v>
      </c>
      <c r="H6" s="5" t="s">
        <v>9</v>
      </c>
    </row>
    <row r="7" spans="1:8" x14ac:dyDescent="0.25">
      <c r="A7">
        <v>2015</v>
      </c>
      <c r="B7" s="1">
        <v>1999754108.24</v>
      </c>
      <c r="C7" s="1">
        <v>421636859.68000001</v>
      </c>
      <c r="D7" s="19">
        <f t="shared" si="0"/>
        <v>0.21084435228443466</v>
      </c>
      <c r="E7" s="1">
        <v>1889415916.4200001</v>
      </c>
      <c r="F7" s="1">
        <v>423962561.66000003</v>
      </c>
      <c r="G7" s="19">
        <f t="shared" si="1"/>
        <v>0.22438816037038029</v>
      </c>
      <c r="H7" s="5" t="s">
        <v>10</v>
      </c>
    </row>
    <row r="8" spans="1:8" x14ac:dyDescent="0.25">
      <c r="A8">
        <v>2016</v>
      </c>
      <c r="B8" s="1">
        <v>2955422351.1399999</v>
      </c>
      <c r="C8" s="1">
        <v>612840392.52999997</v>
      </c>
      <c r="D8" s="19">
        <f t="shared" si="0"/>
        <v>0.2073613581130318</v>
      </c>
      <c r="E8" s="1">
        <v>2641866088.5100002</v>
      </c>
      <c r="F8" s="1">
        <v>616222474.98000002</v>
      </c>
      <c r="G8" s="19">
        <f t="shared" si="1"/>
        <v>0.23325272906907502</v>
      </c>
      <c r="H8" s="5" t="s">
        <v>11</v>
      </c>
    </row>
    <row r="9" spans="1:8" x14ac:dyDescent="0.25">
      <c r="A9">
        <v>2017</v>
      </c>
      <c r="B9" s="1">
        <v>4168275366.8699999</v>
      </c>
      <c r="C9" s="1">
        <v>825847870.84000003</v>
      </c>
      <c r="D9" s="19">
        <f t="shared" si="0"/>
        <v>0.19812699453686466</v>
      </c>
      <c r="E9" s="1">
        <v>3607854692.3000002</v>
      </c>
      <c r="F9" s="1">
        <v>807432574.53999996</v>
      </c>
      <c r="G9" s="19">
        <f t="shared" si="1"/>
        <v>0.22379852943170039</v>
      </c>
      <c r="H9" s="5" t="s">
        <v>12</v>
      </c>
    </row>
    <row r="10" spans="1:8" x14ac:dyDescent="0.25">
      <c r="A10">
        <v>2018</v>
      </c>
      <c r="B10" s="1">
        <v>5397812105.1300001</v>
      </c>
      <c r="C10" s="1">
        <v>1172175357.1400001</v>
      </c>
      <c r="D10" s="19">
        <f t="shared" si="0"/>
        <v>0.21715749535371603</v>
      </c>
      <c r="E10" s="1">
        <v>4588583532.1199999</v>
      </c>
      <c r="F10" s="1">
        <v>1155635990.1300001</v>
      </c>
      <c r="G10" s="19">
        <f t="shared" si="1"/>
        <v>0.25185026752603923</v>
      </c>
      <c r="H10" s="5" t="s">
        <v>13</v>
      </c>
    </row>
    <row r="11" spans="1:8" x14ac:dyDescent="0.25">
      <c r="A11">
        <v>2019</v>
      </c>
      <c r="B11" s="1">
        <v>7685303374.6400003</v>
      </c>
      <c r="C11" s="1">
        <v>1830468529.48</v>
      </c>
      <c r="D11" s="19">
        <f t="shared" si="0"/>
        <v>0.23817778430454528</v>
      </c>
      <c r="E11" s="1">
        <v>7150736449.5600004</v>
      </c>
      <c r="F11" s="1">
        <v>1823843225.03</v>
      </c>
      <c r="G11" s="19">
        <f t="shared" si="1"/>
        <v>0.25505669771149581</v>
      </c>
      <c r="H11" s="5" t="s">
        <v>14</v>
      </c>
    </row>
    <row r="12" spans="1:8" x14ac:dyDescent="0.25">
      <c r="A12">
        <v>2020</v>
      </c>
      <c r="B12" s="1">
        <v>10074378671.58</v>
      </c>
      <c r="C12" s="1">
        <v>2510539839.6100001</v>
      </c>
      <c r="D12" s="19">
        <f t="shared" si="0"/>
        <v>0.24920046401395227</v>
      </c>
      <c r="E12" s="1">
        <v>9006103791.1499996</v>
      </c>
      <c r="F12" s="1">
        <v>2483152991.4099998</v>
      </c>
      <c r="G12" s="19">
        <f t="shared" si="1"/>
        <v>0.27571889565053781</v>
      </c>
      <c r="H12" s="5" t="s">
        <v>15</v>
      </c>
    </row>
    <row r="13" spans="1:8" x14ac:dyDescent="0.25">
      <c r="A13">
        <v>2021</v>
      </c>
      <c r="B13" s="1">
        <v>15877960917.440001</v>
      </c>
      <c r="C13" s="1">
        <v>3964578726.0900002</v>
      </c>
      <c r="D13" s="19">
        <f t="shared" si="0"/>
        <v>0.24969067166145967</v>
      </c>
      <c r="E13" s="1">
        <v>14235729606.92</v>
      </c>
      <c r="F13" s="1">
        <v>3927066750.29</v>
      </c>
      <c r="G13" s="19">
        <f t="shared" si="1"/>
        <v>0.27585988626680924</v>
      </c>
      <c r="H13" s="5" t="s">
        <v>16</v>
      </c>
    </row>
    <row r="14" spans="1:8" x14ac:dyDescent="0.25">
      <c r="A14">
        <v>2022</v>
      </c>
      <c r="B14" s="1">
        <v>27784766328.75</v>
      </c>
      <c r="C14" s="1">
        <v>6587546687.8699999</v>
      </c>
      <c r="D14" s="19">
        <f t="shared" si="0"/>
        <v>0.23709203129247136</v>
      </c>
      <c r="E14" s="1">
        <v>24751364033.860001</v>
      </c>
      <c r="F14" s="1">
        <v>6462657496.1499996</v>
      </c>
      <c r="G14" s="19">
        <f t="shared" si="1"/>
        <v>0.26110308455360476</v>
      </c>
      <c r="H14" s="5" t="s">
        <v>17</v>
      </c>
    </row>
    <row r="15" spans="1:8" x14ac:dyDescent="0.25">
      <c r="A15">
        <v>2023</v>
      </c>
      <c r="B15" s="1">
        <v>65658253659.860001</v>
      </c>
      <c r="C15" s="1">
        <v>16198527450.209999</v>
      </c>
      <c r="D15" s="19">
        <f t="shared" si="0"/>
        <v>0.2467096906677694</v>
      </c>
      <c r="E15" s="1">
        <v>62494793509.389999</v>
      </c>
      <c r="F15" s="1">
        <v>16121859101.57</v>
      </c>
      <c r="G15" s="19">
        <f t="shared" si="1"/>
        <v>0.25797123562217467</v>
      </c>
      <c r="H15" s="5" t="s">
        <v>18</v>
      </c>
    </row>
    <row r="16" spans="1:8" x14ac:dyDescent="0.25">
      <c r="A16">
        <v>2024</v>
      </c>
      <c r="B16" s="1">
        <v>177869214928.60001</v>
      </c>
      <c r="C16" s="1">
        <v>49073163631.919998</v>
      </c>
      <c r="D16" s="19">
        <f t="shared" si="0"/>
        <v>0.27589464344135589</v>
      </c>
      <c r="E16" s="1">
        <v>170920799518.54999</v>
      </c>
      <c r="F16" s="1">
        <v>48945331892.139999</v>
      </c>
      <c r="G16" s="19">
        <f t="shared" si="1"/>
        <v>0.28636264299025804</v>
      </c>
      <c r="H16" s="5">
        <v>1555.7</v>
      </c>
    </row>
    <row r="17" spans="1:8" x14ac:dyDescent="0.25">
      <c r="A17">
        <v>2025</v>
      </c>
      <c r="B17" s="1">
        <v>228032836297.22989</v>
      </c>
      <c r="C17" s="1">
        <v>67553225806.419991</v>
      </c>
      <c r="D17" s="19">
        <f t="shared" si="0"/>
        <v>0.29624341346334698</v>
      </c>
      <c r="E17" s="1">
        <v>280554188279.82001</v>
      </c>
      <c r="F17" s="1">
        <v>77747007654.779999</v>
      </c>
      <c r="G17" s="19">
        <f t="shared" si="1"/>
        <v>0.27711939761610849</v>
      </c>
      <c r="H17" s="5">
        <v>2206.3000000000002</v>
      </c>
    </row>
    <row r="18" spans="1:8" x14ac:dyDescent="0.25">
      <c r="A18">
        <v>2026</v>
      </c>
      <c r="B18" s="1">
        <v>330961123616.40002</v>
      </c>
      <c r="C18" s="1">
        <v>85958883567.720001</v>
      </c>
      <c r="D18" s="19">
        <f>C18/B18</f>
        <v>0.25972501733270192</v>
      </c>
      <c r="E18" s="1">
        <v>38958442219.18</v>
      </c>
      <c r="F18" s="1">
        <v>7107308570.8100004</v>
      </c>
      <c r="G18" s="19">
        <f t="shared" si="1"/>
        <v>0.18243307909552231</v>
      </c>
      <c r="H18" s="5"/>
    </row>
    <row r="20" spans="1:8" x14ac:dyDescent="0.25">
      <c r="A20" s="21" t="s">
        <v>24</v>
      </c>
      <c r="B20" s="21"/>
      <c r="C20" s="21"/>
      <c r="D20" s="21"/>
      <c r="E20" s="21"/>
      <c r="F20" s="21"/>
      <c r="G20" s="21"/>
      <c r="H20" s="21"/>
    </row>
    <row r="21" spans="1:8" x14ac:dyDescent="0.25">
      <c r="A21" s="6" t="s">
        <v>0</v>
      </c>
      <c r="B21" s="7" t="s">
        <v>1</v>
      </c>
      <c r="C21" s="7" t="s">
        <v>20</v>
      </c>
      <c r="D21" s="8" t="s">
        <v>23</v>
      </c>
      <c r="E21" s="7" t="s">
        <v>3</v>
      </c>
      <c r="F21" s="7" t="s">
        <v>21</v>
      </c>
      <c r="G21" s="8" t="s">
        <v>22</v>
      </c>
      <c r="H21" s="1" t="s">
        <v>7</v>
      </c>
    </row>
    <row r="22" spans="1:8" x14ac:dyDescent="0.25">
      <c r="A22" s="3">
        <v>2010</v>
      </c>
      <c r="B22" s="1"/>
      <c r="H22" s="1"/>
    </row>
    <row r="23" spans="1:8" x14ac:dyDescent="0.25">
      <c r="A23" s="3">
        <v>2011</v>
      </c>
      <c r="B23" s="1"/>
      <c r="H23" s="1"/>
    </row>
    <row r="24" spans="1:8" x14ac:dyDescent="0.25">
      <c r="A24" s="3">
        <v>2012</v>
      </c>
      <c r="B24" s="9">
        <f>(B4*($H$17/H4))/1000000</f>
        <v>271220.2866334935</v>
      </c>
      <c r="C24" s="9">
        <f>C4*($H$17/H4)/1000000</f>
        <v>49258.354049924819</v>
      </c>
      <c r="D24" s="20">
        <f t="shared" ref="D24:D37" si="2">C24/B24</f>
        <v>0.18161751342918098</v>
      </c>
      <c r="E24" s="9">
        <f>E4*($H$17/H4)/1000000</f>
        <v>228293.53059998422</v>
      </c>
      <c r="F24" s="9">
        <f>F4*($H$17/H4)/1000000</f>
        <v>48902.073556811731</v>
      </c>
      <c r="G24" s="20">
        <f t="shared" ref="G24:G37" si="3">F24/E24</f>
        <v>0.21420700546481061</v>
      </c>
      <c r="H24" s="5">
        <v>8.1</v>
      </c>
    </row>
    <row r="25" spans="1:8" x14ac:dyDescent="0.25">
      <c r="A25" s="3">
        <v>2013</v>
      </c>
      <c r="B25" s="9">
        <f t="shared" ref="B25:B37" si="4">(B5*($H$17/H5))/1000000</f>
        <v>294306.67071089218</v>
      </c>
      <c r="C25" s="9">
        <f t="shared" ref="C25:C37" si="5">C5*($H$17/H5)/1000000</f>
        <v>47933.568881302112</v>
      </c>
      <c r="D25" s="20">
        <f t="shared" si="2"/>
        <v>0.16286946118319195</v>
      </c>
      <c r="E25" s="9">
        <f t="shared" ref="E25:E37" si="6">E5*($H$17/H5)/1000000</f>
        <v>249005.7477529404</v>
      </c>
      <c r="F25" s="9">
        <f t="shared" ref="F25:F37" si="7">F5*($H$17/H5)/1000000</f>
        <v>47342.541816545265</v>
      </c>
      <c r="G25" s="20">
        <f t="shared" si="3"/>
        <v>0.19012630127525326</v>
      </c>
      <c r="H25" s="5" t="s">
        <v>8</v>
      </c>
    </row>
    <row r="26" spans="1:8" x14ac:dyDescent="0.25">
      <c r="A26" s="3">
        <v>2014</v>
      </c>
      <c r="B26" s="9">
        <f t="shared" si="4"/>
        <v>244887.46264892502</v>
      </c>
      <c r="C26" s="9">
        <f t="shared" si="5"/>
        <v>47466.715305523794</v>
      </c>
      <c r="D26" s="20">
        <f t="shared" si="2"/>
        <v>0.19383072858071509</v>
      </c>
      <c r="E26" s="9">
        <f t="shared" si="6"/>
        <v>226100.31230106845</v>
      </c>
      <c r="F26" s="9">
        <f t="shared" si="7"/>
        <v>47532.950796992576</v>
      </c>
      <c r="G26" s="20">
        <f t="shared" si="3"/>
        <v>0.21022947873552297</v>
      </c>
      <c r="H26" s="5" t="s">
        <v>9</v>
      </c>
    </row>
    <row r="27" spans="1:8" x14ac:dyDescent="0.25">
      <c r="A27" s="3">
        <v>2015</v>
      </c>
      <c r="B27" s="9">
        <f t="shared" si="4"/>
        <v>247868.39825898383</v>
      </c>
      <c r="C27" s="9">
        <f t="shared" si="5"/>
        <v>52261.651882695733</v>
      </c>
      <c r="D27" s="20">
        <f t="shared" si="2"/>
        <v>0.21084435228443466</v>
      </c>
      <c r="E27" s="9">
        <f t="shared" si="6"/>
        <v>234192.04137064304</v>
      </c>
      <c r="F27" s="9">
        <f t="shared" si="7"/>
        <v>52549.921336542589</v>
      </c>
      <c r="G27" s="20">
        <f t="shared" si="3"/>
        <v>0.22438816037038031</v>
      </c>
      <c r="H27" s="5" t="s">
        <v>10</v>
      </c>
    </row>
    <row r="28" spans="1:8" x14ac:dyDescent="0.25">
      <c r="A28" s="3">
        <v>2016</v>
      </c>
      <c r="B28" s="9">
        <f t="shared" si="4"/>
        <v>262925.33602097508</v>
      </c>
      <c r="C28" s="9">
        <f t="shared" si="5"/>
        <v>54520.554759634637</v>
      </c>
      <c r="D28" s="20">
        <f t="shared" si="2"/>
        <v>0.2073613581130318</v>
      </c>
      <c r="E28" s="9">
        <f t="shared" si="6"/>
        <v>235030.20770482314</v>
      </c>
      <c r="F28" s="9">
        <f t="shared" si="7"/>
        <v>54821.437360821532</v>
      </c>
      <c r="G28" s="20">
        <f t="shared" si="3"/>
        <v>0.23325272906907499</v>
      </c>
      <c r="H28" s="5" t="s">
        <v>11</v>
      </c>
    </row>
    <row r="29" spans="1:8" x14ac:dyDescent="0.25">
      <c r="A29" s="3">
        <v>2017</v>
      </c>
      <c r="B29" s="9">
        <f t="shared" si="4"/>
        <v>295706.30038344959</v>
      </c>
      <c r="C29" s="9">
        <f t="shared" si="5"/>
        <v>58587.400560588176</v>
      </c>
      <c r="D29" s="20">
        <f t="shared" si="2"/>
        <v>0.19812699453686466</v>
      </c>
      <c r="E29" s="9">
        <f t="shared" si="6"/>
        <v>255948.8684122666</v>
      </c>
      <c r="F29" s="9">
        <f t="shared" si="7"/>
        <v>57280.980360373054</v>
      </c>
      <c r="G29" s="20">
        <f t="shared" si="3"/>
        <v>0.22379852943170037</v>
      </c>
      <c r="H29" s="5" t="s">
        <v>12</v>
      </c>
    </row>
    <row r="30" spans="1:8" x14ac:dyDescent="0.25">
      <c r="A30" s="3">
        <v>2018</v>
      </c>
      <c r="B30" s="9">
        <f t="shared" si="4"/>
        <v>289761.38315202721</v>
      </c>
      <c r="C30" s="9">
        <f t="shared" si="5"/>
        <v>62923.856215522683</v>
      </c>
      <c r="D30" s="20">
        <f t="shared" si="2"/>
        <v>0.21715749535371603</v>
      </c>
      <c r="E30" s="9">
        <f t="shared" si="6"/>
        <v>246320.96951134686</v>
      </c>
      <c r="F30" s="9">
        <f t="shared" si="7"/>
        <v>62036.002068706068</v>
      </c>
      <c r="G30" s="20">
        <f t="shared" si="3"/>
        <v>0.25185026752603928</v>
      </c>
      <c r="H30" s="5" t="s">
        <v>13</v>
      </c>
    </row>
    <row r="31" spans="1:8" x14ac:dyDescent="0.25">
      <c r="A31" s="3">
        <v>2019</v>
      </c>
      <c r="B31" s="9">
        <f t="shared" si="4"/>
        <v>273927.05711580347</v>
      </c>
      <c r="C31" s="9">
        <f t="shared" si="5"/>
        <v>65243.339524906703</v>
      </c>
      <c r="D31" s="20">
        <f t="shared" si="2"/>
        <v>0.23817778430454531</v>
      </c>
      <c r="E31" s="9">
        <f t="shared" si="6"/>
        <v>254873.50288633656</v>
      </c>
      <c r="F31" s="9">
        <f t="shared" si="7"/>
        <v>65007.193980350399</v>
      </c>
      <c r="G31" s="20">
        <f t="shared" si="3"/>
        <v>0.25505669771149581</v>
      </c>
      <c r="H31" s="5" t="s">
        <v>14</v>
      </c>
    </row>
    <row r="32" spans="1:8" x14ac:dyDescent="0.25">
      <c r="A32" s="3">
        <v>2020</v>
      </c>
      <c r="B32" s="9">
        <f t="shared" si="4"/>
        <v>254024.01900693664</v>
      </c>
      <c r="C32" s="9">
        <f t="shared" si="5"/>
        <v>63302.903407217644</v>
      </c>
      <c r="D32" s="20">
        <f t="shared" si="2"/>
        <v>0.24920046401395229</v>
      </c>
      <c r="E32" s="9">
        <f t="shared" si="6"/>
        <v>227087.62050759137</v>
      </c>
      <c r="F32" s="9">
        <f t="shared" si="7"/>
        <v>62612.34794226152</v>
      </c>
      <c r="G32" s="20">
        <f t="shared" si="3"/>
        <v>0.27571889565053781</v>
      </c>
      <c r="H32" s="5" t="s">
        <v>15</v>
      </c>
    </row>
    <row r="33" spans="1:8" x14ac:dyDescent="0.25">
      <c r="A33" s="3">
        <v>2021</v>
      </c>
      <c r="B33" s="9">
        <f t="shared" si="4"/>
        <v>277587.52117391344</v>
      </c>
      <c r="C33" s="9">
        <f t="shared" si="5"/>
        <v>69311.014606754106</v>
      </c>
      <c r="D33" s="20">
        <f t="shared" si="2"/>
        <v>0.24969067166145967</v>
      </c>
      <c r="E33" s="9">
        <f t="shared" si="6"/>
        <v>248877.1016778732</v>
      </c>
      <c r="F33" s="9">
        <f t="shared" si="7"/>
        <v>68655.208963271216</v>
      </c>
      <c r="G33" s="20">
        <f>F33/E33</f>
        <v>0.27585988626680924</v>
      </c>
      <c r="H33" s="5" t="s">
        <v>16</v>
      </c>
    </row>
    <row r="34" spans="1:8" x14ac:dyDescent="0.25">
      <c r="A34" s="3">
        <v>2022</v>
      </c>
      <c r="B34" s="9">
        <f t="shared" si="4"/>
        <v>294718.89399577468</v>
      </c>
      <c r="C34" s="9">
        <f t="shared" si="5"/>
        <v>69875.501237728764</v>
      </c>
      <c r="D34" s="20">
        <f t="shared" si="2"/>
        <v>0.23709203129247139</v>
      </c>
      <c r="E34" s="9">
        <f t="shared" si="6"/>
        <v>262542.95417262177</v>
      </c>
      <c r="F34" s="9">
        <f t="shared" si="7"/>
        <v>68550.775162287246</v>
      </c>
      <c r="G34" s="20">
        <f t="shared" si="3"/>
        <v>0.26110308455360476</v>
      </c>
      <c r="H34" s="5" t="s">
        <v>17</v>
      </c>
    </row>
    <row r="35" spans="1:8" x14ac:dyDescent="0.25">
      <c r="A35" s="3">
        <v>2023</v>
      </c>
      <c r="B35" s="9">
        <f t="shared" si="4"/>
        <v>309732.31783140718</v>
      </c>
      <c r="C35" s="9">
        <f t="shared" si="5"/>
        <v>76413.964321997701</v>
      </c>
      <c r="D35" s="20">
        <f t="shared" si="2"/>
        <v>0.2467096906677694</v>
      </c>
      <c r="E35" s="9">
        <f t="shared" si="6"/>
        <v>294809.20017055201</v>
      </c>
      <c r="F35" s="9">
        <f t="shared" si="7"/>
        <v>76052.293640782314</v>
      </c>
      <c r="G35" s="20">
        <f t="shared" si="3"/>
        <v>0.25797123562217461</v>
      </c>
      <c r="H35" s="5" t="s">
        <v>18</v>
      </c>
    </row>
    <row r="36" spans="1:8" x14ac:dyDescent="0.25">
      <c r="A36" s="3">
        <v>2024</v>
      </c>
      <c r="B36" s="9">
        <f t="shared" si="4"/>
        <v>252254.83634182057</v>
      </c>
      <c r="C36" s="9">
        <f t="shared" si="5"/>
        <v>69595.758128884176</v>
      </c>
      <c r="D36" s="20">
        <f t="shared" si="2"/>
        <v>0.27589464344135589</v>
      </c>
      <c r="E36" s="9">
        <f t="shared" si="6"/>
        <v>242400.56564747501</v>
      </c>
      <c r="F36" s="9">
        <f t="shared" si="7"/>
        <v>69414.466641144507</v>
      </c>
      <c r="G36" s="23">
        <f>F36/E36</f>
        <v>0.2863626429902581</v>
      </c>
      <c r="H36" s="5">
        <v>1555.7</v>
      </c>
    </row>
    <row r="37" spans="1:8" x14ac:dyDescent="0.25">
      <c r="A37" s="3">
        <v>2025</v>
      </c>
      <c r="B37" s="9">
        <f t="shared" si="4"/>
        <v>228032.83629722989</v>
      </c>
      <c r="C37" s="9">
        <f t="shared" si="5"/>
        <v>67553.225806419985</v>
      </c>
      <c r="D37" s="20">
        <f t="shared" si="2"/>
        <v>0.29624341346334693</v>
      </c>
      <c r="E37" s="9">
        <f t="shared" si="6"/>
        <v>280554.18827982002</v>
      </c>
      <c r="F37" s="9">
        <f>F17*($H$17/H17)/1000000</f>
        <v>77747.007654779998</v>
      </c>
      <c r="G37" s="23">
        <f>F37/E37</f>
        <v>0.27711939761610843</v>
      </c>
      <c r="H37" s="5" t="s">
        <v>19</v>
      </c>
    </row>
    <row r="38" spans="1:8" x14ac:dyDescent="0.25">
      <c r="A38" s="4">
        <v>2026</v>
      </c>
      <c r="B38" s="1"/>
      <c r="H38" s="1"/>
    </row>
  </sheetData>
  <mergeCells count="1">
    <mergeCell ref="A20:H20"/>
  </mergeCells>
  <phoneticPr fontId="2" type="noConversion"/>
  <pageMargins left="0.75" right="0.75" top="1" bottom="1" header="0.5" footer="0.5"/>
  <ignoredErrors>
    <ignoredError sqref="H6:H15 H25:H35 H37" numberStoredAsText="1"/>
  </ignoredErrors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35D1-53E5-430D-8E88-D4D89E96F3E9}">
  <dimension ref="A1:H38"/>
  <sheetViews>
    <sheetView topLeftCell="A19" zoomScale="90" zoomScaleNormal="90" workbookViewId="0">
      <selection activeCell="A40" sqref="A40"/>
    </sheetView>
  </sheetViews>
  <sheetFormatPr baseColWidth="10" defaultRowHeight="15" x14ac:dyDescent="0.25"/>
  <cols>
    <col min="2" max="2" width="19.140625" bestFit="1" customWidth="1"/>
    <col min="3" max="3" width="27.140625" bestFit="1" customWidth="1"/>
    <col min="4" max="4" width="30.140625" customWidth="1"/>
    <col min="5" max="5" width="18.85546875" bestFit="1" customWidth="1"/>
    <col min="6" max="6" width="24" bestFit="1" customWidth="1"/>
    <col min="7" max="7" width="29.5703125" customWidth="1"/>
    <col min="8" max="8" width="23.28515625" bestFit="1" customWidth="1"/>
  </cols>
  <sheetData>
    <row r="1" spans="1:8" x14ac:dyDescent="0.25">
      <c r="A1" t="s">
        <v>0</v>
      </c>
      <c r="B1" s="1" t="s">
        <v>1</v>
      </c>
      <c r="C1" s="1" t="s">
        <v>2</v>
      </c>
      <c r="D1" s="2" t="s">
        <v>6</v>
      </c>
      <c r="E1" s="1" t="s">
        <v>3</v>
      </c>
      <c r="F1" s="1" t="s">
        <v>4</v>
      </c>
      <c r="G1" s="2" t="s">
        <v>5</v>
      </c>
      <c r="H1" s="1" t="s">
        <v>7</v>
      </c>
    </row>
    <row r="2" spans="1:8" x14ac:dyDescent="0.25">
      <c r="A2">
        <v>2010</v>
      </c>
      <c r="B2" s="1"/>
      <c r="C2" s="1"/>
      <c r="D2" s="2"/>
      <c r="E2" s="1"/>
      <c r="F2" s="1"/>
      <c r="G2" s="2"/>
      <c r="H2" s="5"/>
    </row>
    <row r="3" spans="1:8" x14ac:dyDescent="0.25">
      <c r="A3">
        <v>2011</v>
      </c>
      <c r="B3" s="1"/>
      <c r="C3" s="1"/>
      <c r="D3" s="2"/>
      <c r="E3" s="1"/>
      <c r="F3" s="1"/>
      <c r="G3" s="2"/>
      <c r="H3" s="5"/>
    </row>
    <row r="4" spans="1:8" x14ac:dyDescent="0.25">
      <c r="A4">
        <v>2012</v>
      </c>
      <c r="B4" s="1">
        <v>588586.68400000001</v>
      </c>
      <c r="C4" s="1">
        <v>21106.206139999998</v>
      </c>
      <c r="D4" s="19">
        <f t="shared" ref="D4:D17" si="0">C4/B4</f>
        <v>3.5859129527979601E-2</v>
      </c>
      <c r="E4" s="1">
        <v>561832.951</v>
      </c>
      <c r="F4" s="1">
        <v>19602.28587</v>
      </c>
      <c r="G4" s="19">
        <f t="shared" ref="G4:G17" si="1">F4/E4</f>
        <v>3.4889882900442412E-2</v>
      </c>
      <c r="H4" s="5">
        <v>8.1</v>
      </c>
    </row>
    <row r="5" spans="1:8" x14ac:dyDescent="0.25">
      <c r="A5">
        <v>2013</v>
      </c>
      <c r="B5" s="1">
        <v>780149.78469999996</v>
      </c>
      <c r="C5" s="1">
        <v>30685.46632</v>
      </c>
      <c r="D5" s="19">
        <f t="shared" si="0"/>
        <v>3.9332788295006499E-2</v>
      </c>
      <c r="E5" s="1">
        <v>750934.9129</v>
      </c>
      <c r="F5" s="1">
        <v>28576.517220000002</v>
      </c>
      <c r="G5" s="19">
        <f t="shared" si="1"/>
        <v>3.8054585995531492E-2</v>
      </c>
      <c r="H5" s="5">
        <v>10.01</v>
      </c>
    </row>
    <row r="6" spans="1:8" x14ac:dyDescent="0.25">
      <c r="A6">
        <v>2014</v>
      </c>
      <c r="B6" s="1">
        <v>1164759.432</v>
      </c>
      <c r="C6" s="1">
        <v>41268.257790000003</v>
      </c>
      <c r="D6" s="19">
        <f t="shared" si="0"/>
        <v>3.5430713550126461E-2</v>
      </c>
      <c r="E6" s="1">
        <v>1134364.2150000001</v>
      </c>
      <c r="F6" s="1">
        <v>39353.140870000003</v>
      </c>
      <c r="G6" s="19">
        <f t="shared" si="1"/>
        <v>3.4691803875354088E-2</v>
      </c>
      <c r="H6" s="5" t="s">
        <v>9</v>
      </c>
    </row>
    <row r="7" spans="1:8" x14ac:dyDescent="0.25">
      <c r="A7">
        <v>2015</v>
      </c>
      <c r="B7" s="1">
        <v>1499476.0689999999</v>
      </c>
      <c r="C7" s="1">
        <v>59530.1967</v>
      </c>
      <c r="D7" s="19">
        <f t="shared" si="0"/>
        <v>3.970066473931836E-2</v>
      </c>
      <c r="E7" s="1">
        <v>1431662.1270000001</v>
      </c>
      <c r="F7" s="1">
        <v>56085.592470000003</v>
      </c>
      <c r="G7" s="19">
        <f t="shared" si="1"/>
        <v>3.9175159705820729E-2</v>
      </c>
      <c r="H7" s="5" t="s">
        <v>10</v>
      </c>
    </row>
    <row r="8" spans="1:8" x14ac:dyDescent="0.25">
      <c r="A8">
        <v>2016</v>
      </c>
      <c r="B8" s="1">
        <v>2215682.9440000001</v>
      </c>
      <c r="C8" s="1">
        <v>77023.949840000001</v>
      </c>
      <c r="D8" s="19">
        <f t="shared" si="0"/>
        <v>3.4763073863333396E-2</v>
      </c>
      <c r="E8" s="1">
        <v>2131113.2560000001</v>
      </c>
      <c r="F8" s="1">
        <v>74310.745420000007</v>
      </c>
      <c r="G8" s="19">
        <f t="shared" si="1"/>
        <v>3.4869449200216514E-2</v>
      </c>
      <c r="H8" s="5" t="s">
        <v>11</v>
      </c>
    </row>
    <row r="9" spans="1:8" x14ac:dyDescent="0.25">
      <c r="A9">
        <v>2017</v>
      </c>
      <c r="B9" s="1">
        <v>2633514.8169999998</v>
      </c>
      <c r="C9" s="1">
        <v>98219.715849999993</v>
      </c>
      <c r="D9" s="19">
        <f t="shared" si="0"/>
        <v>3.7296055908236037E-2</v>
      </c>
      <c r="E9" s="1">
        <v>2564004.5610000002</v>
      </c>
      <c r="F9" s="1">
        <v>95000.118100000007</v>
      </c>
      <c r="G9" s="19">
        <f t="shared" si="1"/>
        <v>3.7051462210717964E-2</v>
      </c>
      <c r="H9" s="5" t="s">
        <v>12</v>
      </c>
    </row>
    <row r="10" spans="1:8" x14ac:dyDescent="0.25">
      <c r="A10">
        <v>2018</v>
      </c>
      <c r="B10" s="1">
        <v>3379235.0150000001</v>
      </c>
      <c r="C10" s="1">
        <v>123469.75659999999</v>
      </c>
      <c r="D10" s="19">
        <f t="shared" si="0"/>
        <v>3.653778327104603E-2</v>
      </c>
      <c r="E10" s="1">
        <v>3298979.4730000002</v>
      </c>
      <c r="F10" s="1">
        <v>118727.5232</v>
      </c>
      <c r="G10" s="19">
        <f t="shared" si="1"/>
        <v>3.5989167005041255E-2</v>
      </c>
      <c r="H10" s="5" t="s">
        <v>13</v>
      </c>
    </row>
    <row r="11" spans="1:8" x14ac:dyDescent="0.25">
      <c r="A11">
        <v>2019</v>
      </c>
      <c r="B11" s="1">
        <v>4928184.4000000004</v>
      </c>
      <c r="C11" s="1">
        <v>176804.55439999999</v>
      </c>
      <c r="D11" s="19">
        <f t="shared" si="0"/>
        <v>3.5876205119272725E-2</v>
      </c>
      <c r="E11" s="1">
        <v>4762089.4239999996</v>
      </c>
      <c r="F11" s="1">
        <v>169323.63680000001</v>
      </c>
      <c r="G11" s="19">
        <f t="shared" si="1"/>
        <v>3.5556584877772766E-2</v>
      </c>
      <c r="H11" s="5" t="s">
        <v>14</v>
      </c>
    </row>
    <row r="12" spans="1:8" x14ac:dyDescent="0.25">
      <c r="A12">
        <v>2020</v>
      </c>
      <c r="B12" s="1">
        <v>7762600.6550000003</v>
      </c>
      <c r="C12" s="1">
        <v>353785.11660000001</v>
      </c>
      <c r="D12" s="19">
        <f t="shared" si="0"/>
        <v>4.5575591521911159E-2</v>
      </c>
      <c r="E12" s="1">
        <v>7001429.3289999999</v>
      </c>
      <c r="F12" s="1">
        <v>335214.64039999997</v>
      </c>
      <c r="G12" s="19">
        <f t="shared" si="1"/>
        <v>4.7878029563411736E-2</v>
      </c>
      <c r="H12" s="5" t="s">
        <v>15</v>
      </c>
    </row>
    <row r="13" spans="1:8" x14ac:dyDescent="0.25">
      <c r="A13">
        <v>2021</v>
      </c>
      <c r="B13" s="1">
        <v>11000407.08</v>
      </c>
      <c r="C13" s="1">
        <v>615486.70570000005</v>
      </c>
      <c r="D13" s="19">
        <f t="shared" si="0"/>
        <v>5.5951266278047598E-2</v>
      </c>
      <c r="E13" s="1">
        <v>10763163.93</v>
      </c>
      <c r="F13" s="1">
        <v>603730.27899999998</v>
      </c>
      <c r="G13" s="19">
        <f t="shared" si="1"/>
        <v>5.6092268307577471E-2</v>
      </c>
      <c r="H13" s="5" t="s">
        <v>16</v>
      </c>
    </row>
    <row r="14" spans="1:8" x14ac:dyDescent="0.25">
      <c r="A14">
        <v>2022</v>
      </c>
      <c r="B14" s="1">
        <v>18126071.289999999</v>
      </c>
      <c r="C14" s="1">
        <v>741583.80989999999</v>
      </c>
      <c r="D14" s="19">
        <f t="shared" si="0"/>
        <v>4.0912550658957492E-2</v>
      </c>
      <c r="E14" s="1">
        <v>17527870.16</v>
      </c>
      <c r="F14" s="1">
        <v>693034.43799999997</v>
      </c>
      <c r="G14" s="19">
        <f t="shared" si="1"/>
        <v>3.9538998844341047E-2</v>
      </c>
      <c r="H14" s="5" t="s">
        <v>17</v>
      </c>
    </row>
    <row r="15" spans="1:8" x14ac:dyDescent="0.25">
      <c r="A15">
        <v>2023</v>
      </c>
      <c r="B15" s="1">
        <v>40411433.32</v>
      </c>
      <c r="C15" s="1">
        <v>1460436.9480000001</v>
      </c>
      <c r="D15" s="19">
        <f t="shared" si="0"/>
        <v>3.613920190445747E-2</v>
      </c>
      <c r="E15" s="1">
        <v>38025489.07</v>
      </c>
      <c r="F15" s="1">
        <v>1364709.7509999999</v>
      </c>
      <c r="G15" s="19">
        <f t="shared" si="1"/>
        <v>3.5889341186059333E-2</v>
      </c>
      <c r="H15" s="5" t="s">
        <v>18</v>
      </c>
    </row>
    <row r="16" spans="1:8" x14ac:dyDescent="0.25">
      <c r="A16">
        <v>2024</v>
      </c>
      <c r="B16" s="1">
        <v>96086046.400000006</v>
      </c>
      <c r="C16" s="1">
        <v>4597917.7309999997</v>
      </c>
      <c r="D16" s="19">
        <f t="shared" si="0"/>
        <v>4.7852085742597472E-2</v>
      </c>
      <c r="E16" s="1">
        <v>90197486.819999993</v>
      </c>
      <c r="F16" s="1">
        <v>4406161.2560000001</v>
      </c>
      <c r="G16" s="19">
        <f t="shared" si="1"/>
        <v>4.8850155490396625E-2</v>
      </c>
      <c r="H16" s="5">
        <v>1555.7</v>
      </c>
    </row>
    <row r="17" spans="1:8" x14ac:dyDescent="0.25">
      <c r="A17">
        <v>2025</v>
      </c>
      <c r="B17" s="1">
        <v>128528614.3</v>
      </c>
      <c r="C17" s="1">
        <v>7354539.5190000003</v>
      </c>
      <c r="D17" s="19">
        <f t="shared" si="0"/>
        <v>5.7221028632843514E-2</v>
      </c>
      <c r="E17" s="1">
        <v>122877771.2</v>
      </c>
      <c r="F17" s="1">
        <v>6879564.3059999999</v>
      </c>
      <c r="G17" s="19">
        <f t="shared" si="1"/>
        <v>5.5987053140820635E-2</v>
      </c>
      <c r="H17" s="5">
        <v>2206.3000000000002</v>
      </c>
    </row>
    <row r="18" spans="1:8" x14ac:dyDescent="0.25">
      <c r="A18">
        <v>2026</v>
      </c>
      <c r="B18" s="1"/>
      <c r="C18" s="1"/>
      <c r="D18" s="2"/>
      <c r="E18" s="1"/>
      <c r="F18" s="1"/>
      <c r="G18" s="2"/>
      <c r="H18" s="5"/>
    </row>
    <row r="20" spans="1:8" x14ac:dyDescent="0.25">
      <c r="A20" s="22" t="s">
        <v>24</v>
      </c>
      <c r="B20" s="22"/>
      <c r="C20" s="22"/>
      <c r="D20" s="22"/>
      <c r="E20" s="22"/>
      <c r="F20" s="22"/>
      <c r="G20" s="22"/>
      <c r="H20" s="22"/>
    </row>
    <row r="21" spans="1:8" x14ac:dyDescent="0.25">
      <c r="A21" s="6" t="s">
        <v>0</v>
      </c>
      <c r="B21" s="7" t="s">
        <v>1</v>
      </c>
      <c r="C21" s="7" t="s">
        <v>20</v>
      </c>
      <c r="D21" s="8" t="s">
        <v>23</v>
      </c>
      <c r="E21" s="7" t="s">
        <v>3</v>
      </c>
      <c r="F21" s="7" t="s">
        <v>21</v>
      </c>
      <c r="G21" s="8" t="s">
        <v>22</v>
      </c>
      <c r="H21" s="1" t="s">
        <v>7</v>
      </c>
    </row>
    <row r="22" spans="1:8" x14ac:dyDescent="0.25">
      <c r="A22" s="3">
        <v>2010</v>
      </c>
      <c r="B22" s="1"/>
      <c r="H22" s="1"/>
    </row>
    <row r="23" spans="1:8" x14ac:dyDescent="0.25">
      <c r="A23" s="3">
        <v>2011</v>
      </c>
      <c r="B23" s="1"/>
      <c r="H23" s="1"/>
    </row>
    <row r="24" spans="1:8" x14ac:dyDescent="0.25">
      <c r="A24" s="3">
        <v>2012</v>
      </c>
      <c r="B24" s="9">
        <f>(B4*($H$17/H4))</f>
        <v>160320839.61841977</v>
      </c>
      <c r="C24" s="9">
        <f>C4*($H$17/H4)</f>
        <v>5748965.7539113583</v>
      </c>
      <c r="D24" s="20">
        <f t="shared" ref="D24:D37" si="2">C24/B24</f>
        <v>3.5859129527979601E-2</v>
      </c>
      <c r="E24" s="9">
        <f>E4*($H$17/H4)</f>
        <v>153033585.15941978</v>
      </c>
      <c r="F24" s="9">
        <f>F4*($H$17/H4)</f>
        <v>5339323.8660470378</v>
      </c>
      <c r="G24" s="20">
        <f t="shared" ref="G24:G37" si="3">F24/E24</f>
        <v>3.4889882900442412E-2</v>
      </c>
      <c r="H24" s="5">
        <v>8.1</v>
      </c>
    </row>
    <row r="25" spans="1:8" x14ac:dyDescent="0.25">
      <c r="A25" s="3">
        <v>2013</v>
      </c>
      <c r="B25" s="9">
        <f t="shared" ref="B25:B37" si="4">(B5*($H$17/H5))</f>
        <v>171952494.50385717</v>
      </c>
      <c r="C25" s="9">
        <f t="shared" ref="C25:C37" si="5">C5*($H$17/H5)</f>
        <v>6763371.063118482</v>
      </c>
      <c r="D25" s="20">
        <f t="shared" si="2"/>
        <v>3.9332788295006499E-2</v>
      </c>
      <c r="E25" s="9">
        <f t="shared" ref="E25:E37" si="6">E5*($H$17/H5)</f>
        <v>165513256.57655045</v>
      </c>
      <c r="F25" s="9">
        <f t="shared" ref="F25:F37" si="7">F5*($H$17/H5)</f>
        <v>6298538.455792808</v>
      </c>
      <c r="G25" s="20">
        <f t="shared" si="3"/>
        <v>3.8054585995531492E-2</v>
      </c>
      <c r="H25" s="5" t="s">
        <v>8</v>
      </c>
    </row>
    <row r="26" spans="1:8" x14ac:dyDescent="0.25">
      <c r="A26" s="3">
        <v>2014</v>
      </c>
      <c r="B26" s="9">
        <f t="shared" si="4"/>
        <v>183557766.77297145</v>
      </c>
      <c r="C26" s="9">
        <f t="shared" si="5"/>
        <v>6503582.6544340728</v>
      </c>
      <c r="D26" s="20">
        <f t="shared" si="2"/>
        <v>3.5430713550126461E-2</v>
      </c>
      <c r="E26" s="9">
        <f t="shared" si="6"/>
        <v>178767697.6824643</v>
      </c>
      <c r="F26" s="9">
        <f t="shared" si="7"/>
        <v>6201773.9072486442</v>
      </c>
      <c r="G26" s="20">
        <f t="shared" si="3"/>
        <v>3.4691803875354095E-2</v>
      </c>
      <c r="H26" s="5" t="s">
        <v>9</v>
      </c>
    </row>
    <row r="27" spans="1:8" x14ac:dyDescent="0.25">
      <c r="A27" s="3">
        <v>2015</v>
      </c>
      <c r="B27" s="9">
        <f t="shared" si="4"/>
        <v>185859216.35026404</v>
      </c>
      <c r="C27" s="9">
        <f t="shared" si="5"/>
        <v>7378734.4370342698</v>
      </c>
      <c r="D27" s="20">
        <f t="shared" si="2"/>
        <v>3.970066473931836E-2</v>
      </c>
      <c r="E27" s="9">
        <f t="shared" si="6"/>
        <v>177453716.33708429</v>
      </c>
      <c r="F27" s="9">
        <f t="shared" si="7"/>
        <v>6951777.6778966859</v>
      </c>
      <c r="G27" s="20">
        <f t="shared" si="3"/>
        <v>3.9175159705820729E-2</v>
      </c>
      <c r="H27" s="5" t="s">
        <v>10</v>
      </c>
    </row>
    <row r="28" spans="1:8" x14ac:dyDescent="0.25">
      <c r="A28" s="3">
        <v>2016</v>
      </c>
      <c r="B28" s="9">
        <f t="shared" si="4"/>
        <v>197115374.16722584</v>
      </c>
      <c r="C28" s="9">
        <f t="shared" si="5"/>
        <v>6852336.3117738711</v>
      </c>
      <c r="D28" s="20">
        <f t="shared" si="2"/>
        <v>3.4763073863333396E-2</v>
      </c>
      <c r="E28" s="9">
        <f t="shared" si="6"/>
        <v>189591740.99648389</v>
      </c>
      <c r="F28" s="9">
        <f t="shared" si="7"/>
        <v>6610959.5814575013</v>
      </c>
      <c r="G28" s="20">
        <f t="shared" si="3"/>
        <v>3.4869449200216514E-2</v>
      </c>
      <c r="H28" s="5" t="s">
        <v>11</v>
      </c>
    </row>
    <row r="29" spans="1:8" x14ac:dyDescent="0.25">
      <c r="A29" s="3">
        <v>2017</v>
      </c>
      <c r="B29" s="9">
        <f t="shared" si="4"/>
        <v>186827129.92755949</v>
      </c>
      <c r="C29" s="9">
        <f t="shared" si="5"/>
        <v>6967915.0829535369</v>
      </c>
      <c r="D29" s="20">
        <f t="shared" si="2"/>
        <v>3.7296055908236037E-2</v>
      </c>
      <c r="E29" s="9">
        <f t="shared" si="6"/>
        <v>181895924.85319296</v>
      </c>
      <c r="F29" s="9">
        <f t="shared" si="7"/>
        <v>6739509.985981673</v>
      </c>
      <c r="G29" s="20">
        <f t="shared" si="3"/>
        <v>3.7051462210717964E-2</v>
      </c>
      <c r="H29" s="5" t="s">
        <v>12</v>
      </c>
    </row>
    <row r="30" spans="1:8" x14ac:dyDescent="0.25">
      <c r="A30" s="3">
        <v>2018</v>
      </c>
      <c r="B30" s="9">
        <f t="shared" si="4"/>
        <v>181401611.03636253</v>
      </c>
      <c r="C30" s="9">
        <f t="shared" si="5"/>
        <v>6628012.7490652064</v>
      </c>
      <c r="D30" s="20">
        <f t="shared" si="2"/>
        <v>3.6537783271046037E-2</v>
      </c>
      <c r="E30" s="9">
        <f t="shared" si="6"/>
        <v>177093392.00194407</v>
      </c>
      <c r="F30" s="9">
        <f t="shared" si="7"/>
        <v>6373443.660247202</v>
      </c>
      <c r="G30" s="20">
        <f t="shared" si="3"/>
        <v>3.5989167005041255E-2</v>
      </c>
      <c r="H30" s="5" t="s">
        <v>13</v>
      </c>
    </row>
    <row r="31" spans="1:8" x14ac:dyDescent="0.25">
      <c r="A31" s="3">
        <v>2019</v>
      </c>
      <c r="B31" s="9">
        <f t="shared" si="4"/>
        <v>175655141.22326338</v>
      </c>
      <c r="C31" s="9">
        <f t="shared" si="5"/>
        <v>6301839.8767806152</v>
      </c>
      <c r="D31" s="20">
        <f t="shared" si="2"/>
        <v>3.5876205119272725E-2</v>
      </c>
      <c r="E31" s="9">
        <f t="shared" si="6"/>
        <v>169735022.55526981</v>
      </c>
      <c r="F31" s="9">
        <f t="shared" si="7"/>
        <v>6035197.7362171263</v>
      </c>
      <c r="G31" s="20">
        <f t="shared" si="3"/>
        <v>3.5556584877772766E-2</v>
      </c>
      <c r="H31" s="5" t="s">
        <v>14</v>
      </c>
    </row>
    <row r="32" spans="1:8" x14ac:dyDescent="0.25">
      <c r="A32" s="3">
        <v>2020</v>
      </c>
      <c r="B32" s="9">
        <f t="shared" si="4"/>
        <v>195732866.57287431</v>
      </c>
      <c r="C32" s="9">
        <f t="shared" si="5"/>
        <v>8920641.1743380576</v>
      </c>
      <c r="D32" s="20">
        <f t="shared" si="2"/>
        <v>4.5575591521911152E-2</v>
      </c>
      <c r="E32" s="9">
        <f t="shared" si="6"/>
        <v>176540040.32654515</v>
      </c>
      <c r="F32" s="9">
        <f t="shared" si="7"/>
        <v>8452389.2698802296</v>
      </c>
      <c r="G32" s="20">
        <f t="shared" si="3"/>
        <v>4.7878029563411743E-2</v>
      </c>
      <c r="H32" s="5" t="s">
        <v>15</v>
      </c>
    </row>
    <row r="33" spans="1:8" x14ac:dyDescent="0.25">
      <c r="A33" s="3">
        <v>2021</v>
      </c>
      <c r="B33" s="9">
        <f t="shared" si="4"/>
        <v>192315357.69099844</v>
      </c>
      <c r="C33" s="9">
        <f t="shared" si="5"/>
        <v>10760287.787527021</v>
      </c>
      <c r="D33" s="20">
        <f t="shared" si="2"/>
        <v>5.5951266278047591E-2</v>
      </c>
      <c r="E33" s="9">
        <f t="shared" si="6"/>
        <v>188167738.34198892</v>
      </c>
      <c r="F33" s="9">
        <f t="shared" si="7"/>
        <v>10554755.265908875</v>
      </c>
      <c r="G33" s="20">
        <f t="shared" si="3"/>
        <v>5.6092268307577464E-2</v>
      </c>
      <c r="H33" s="5" t="s">
        <v>16</v>
      </c>
    </row>
    <row r="34" spans="1:8" x14ac:dyDescent="0.25">
      <c r="A34" s="3">
        <v>2022</v>
      </c>
      <c r="B34" s="9">
        <f t="shared" si="4"/>
        <v>192267072.53426445</v>
      </c>
      <c r="C34" s="9">
        <f t="shared" si="5"/>
        <v>7866136.3451075489</v>
      </c>
      <c r="D34" s="20">
        <f t="shared" si="2"/>
        <v>4.0912550658957492E-2</v>
      </c>
      <c r="E34" s="9">
        <f t="shared" si="6"/>
        <v>185921826.60580772</v>
      </c>
      <c r="F34" s="9">
        <f t="shared" si="7"/>
        <v>7351162.887304808</v>
      </c>
      <c r="G34" s="20">
        <f t="shared" si="3"/>
        <v>3.9538998844341047E-2</v>
      </c>
      <c r="H34" s="5" t="s">
        <v>17</v>
      </c>
    </row>
    <row r="35" spans="1:8" x14ac:dyDescent="0.25">
      <c r="A35" s="3">
        <v>2023</v>
      </c>
      <c r="B35" s="9">
        <f t="shared" si="4"/>
        <v>190634477.94294634</v>
      </c>
      <c r="C35" s="9">
        <f t="shared" si="5"/>
        <v>6889377.8883309821</v>
      </c>
      <c r="D35" s="20">
        <f t="shared" si="2"/>
        <v>3.613920190445747E-2</v>
      </c>
      <c r="E35" s="9">
        <f t="shared" si="6"/>
        <v>179379167.27633312</v>
      </c>
      <c r="F35" s="9">
        <f t="shared" si="7"/>
        <v>6437800.1360515291</v>
      </c>
      <c r="G35" s="20">
        <f t="shared" si="3"/>
        <v>3.5889341186059333E-2</v>
      </c>
      <c r="H35" s="5" t="s">
        <v>18</v>
      </c>
    </row>
    <row r="36" spans="1:8" x14ac:dyDescent="0.25">
      <c r="A36" s="3">
        <v>2024</v>
      </c>
      <c r="B36" s="9">
        <f t="shared" si="4"/>
        <v>136269617.64628145</v>
      </c>
      <c r="C36" s="9">
        <f t="shared" si="5"/>
        <v>6520785.4277208336</v>
      </c>
      <c r="D36" s="20">
        <f t="shared" si="2"/>
        <v>4.7852085742597472E-2</v>
      </c>
      <c r="E36" s="9">
        <f t="shared" si="6"/>
        <v>127918438.75487947</v>
      </c>
      <c r="F36" s="9">
        <f t="shared" si="7"/>
        <v>6248835.6232646406</v>
      </c>
      <c r="G36" s="20">
        <f t="shared" si="3"/>
        <v>4.8850155490396632E-2</v>
      </c>
      <c r="H36" s="5">
        <v>1555.7</v>
      </c>
    </row>
    <row r="37" spans="1:8" x14ac:dyDescent="0.25">
      <c r="A37" s="3">
        <v>2025</v>
      </c>
      <c r="B37" s="9">
        <f t="shared" si="4"/>
        <v>128528614.3</v>
      </c>
      <c r="C37" s="9">
        <f t="shared" si="5"/>
        <v>7354539.5190000003</v>
      </c>
      <c r="D37" s="20">
        <f t="shared" si="2"/>
        <v>5.7221028632843514E-2</v>
      </c>
      <c r="E37" s="9">
        <f t="shared" si="6"/>
        <v>122877771.2</v>
      </c>
      <c r="F37" s="9">
        <f t="shared" si="7"/>
        <v>6879564.3059999999</v>
      </c>
      <c r="G37" s="20">
        <f t="shared" si="3"/>
        <v>5.5987053140820635E-2</v>
      </c>
      <c r="H37" s="5" t="s">
        <v>19</v>
      </c>
    </row>
    <row r="38" spans="1:8" x14ac:dyDescent="0.25">
      <c r="A38" s="4">
        <v>2026</v>
      </c>
      <c r="B38" s="1"/>
      <c r="G38" s="2"/>
      <c r="H38" s="1"/>
    </row>
  </sheetData>
  <mergeCells count="1">
    <mergeCell ref="A20:H20"/>
  </mergeCells>
  <pageMargins left="0.7" right="0.7" top="0.75" bottom="0.75" header="0.3" footer="0.3"/>
  <ignoredErrors>
    <ignoredError sqref="H25:H37 H6:H15" numberStoredAsText="1"/>
  </ignoredErrors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DA35-CC9B-4BE4-B006-5370EE0337D5}">
  <dimension ref="B2:E8"/>
  <sheetViews>
    <sheetView workbookViewId="0">
      <selection activeCell="E24" sqref="E24"/>
    </sheetView>
  </sheetViews>
  <sheetFormatPr baseColWidth="10" defaultRowHeight="15" x14ac:dyDescent="0.25"/>
  <cols>
    <col min="3" max="3" width="17.85546875" bestFit="1" customWidth="1"/>
    <col min="4" max="4" width="16.85546875" bestFit="1" customWidth="1"/>
    <col min="5" max="5" width="34.140625" customWidth="1"/>
  </cols>
  <sheetData>
    <row r="2" spans="2:5" x14ac:dyDescent="0.25">
      <c r="B2" t="s">
        <v>0</v>
      </c>
      <c r="C2" t="s">
        <v>46</v>
      </c>
      <c r="D2" t="s">
        <v>47</v>
      </c>
      <c r="E2" t="s">
        <v>48</v>
      </c>
    </row>
    <row r="3" spans="2:5" x14ac:dyDescent="0.25">
      <c r="B3">
        <v>2014</v>
      </c>
      <c r="C3" s="1">
        <v>656041760</v>
      </c>
      <c r="D3" s="1">
        <v>31912920</v>
      </c>
      <c r="E3" s="2">
        <f>D3/C3</f>
        <v>4.8644647255382034E-2</v>
      </c>
    </row>
    <row r="4" spans="2:5" x14ac:dyDescent="0.25">
      <c r="B4">
        <v>2018</v>
      </c>
      <c r="C4" s="1">
        <v>2275308621.6999998</v>
      </c>
      <c r="D4" s="1">
        <v>106638000</v>
      </c>
      <c r="E4" s="2">
        <f>D4/C4</f>
        <v>4.6867488209280939E-2</v>
      </c>
    </row>
    <row r="5" spans="2:5" x14ac:dyDescent="0.25">
      <c r="B5">
        <v>2019</v>
      </c>
      <c r="C5" s="1">
        <v>3520028495</v>
      </c>
      <c r="D5" s="1">
        <v>159000000</v>
      </c>
      <c r="E5" s="2">
        <f>D5/C5</f>
        <v>4.517008888588557E-2</v>
      </c>
    </row>
    <row r="6" spans="2:5" x14ac:dyDescent="0.25">
      <c r="B6">
        <v>2020</v>
      </c>
      <c r="C6" s="1">
        <v>5270296492</v>
      </c>
      <c r="D6" s="1">
        <v>247390453.19</v>
      </c>
      <c r="E6" s="2">
        <f>D6/C6</f>
        <v>4.6940519108464612E-2</v>
      </c>
    </row>
    <row r="7" spans="2:5" x14ac:dyDescent="0.25">
      <c r="B7">
        <v>2024</v>
      </c>
      <c r="C7" s="1">
        <v>64816520391.940002</v>
      </c>
      <c r="D7" s="1">
        <v>2665785882.2199998</v>
      </c>
      <c r="E7" s="2">
        <f>D7/C7</f>
        <v>4.1128185624594138E-2</v>
      </c>
    </row>
    <row r="8" spans="2:5" x14ac:dyDescent="0.25">
      <c r="E8" s="2">
        <f>AVERAGE(E3:E7)</f>
        <v>4.575018581672146E-2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CE26-12DE-45AB-A253-C1727FDDD24E}">
  <dimension ref="C3:E21"/>
  <sheetViews>
    <sheetView zoomScale="110" zoomScaleNormal="110" workbookViewId="0">
      <selection activeCell="D32" sqref="D32"/>
    </sheetView>
  </sheetViews>
  <sheetFormatPr baseColWidth="10" defaultRowHeight="15" x14ac:dyDescent="0.25"/>
  <cols>
    <col min="3" max="3" width="12.5703125" bestFit="1" customWidth="1"/>
    <col min="4" max="4" width="23.140625" bestFit="1" customWidth="1"/>
    <col min="5" max="5" width="15.5703125" bestFit="1" customWidth="1"/>
  </cols>
  <sheetData>
    <row r="3" spans="3:5" x14ac:dyDescent="0.25">
      <c r="C3" s="10" t="s">
        <v>45</v>
      </c>
      <c r="D3" s="11" t="s">
        <v>43</v>
      </c>
      <c r="E3" s="12" t="s">
        <v>44</v>
      </c>
    </row>
    <row r="4" spans="3:5" x14ac:dyDescent="0.25">
      <c r="C4" s="13" t="s">
        <v>25</v>
      </c>
      <c r="D4" s="14">
        <v>4.7</v>
      </c>
      <c r="E4" s="15">
        <v>43932</v>
      </c>
    </row>
    <row r="5" spans="3:5" x14ac:dyDescent="0.25">
      <c r="C5" s="13" t="s">
        <v>26</v>
      </c>
      <c r="D5" s="14">
        <v>8.1</v>
      </c>
      <c r="E5" s="15">
        <v>49239</v>
      </c>
    </row>
    <row r="6" spans="3:5" x14ac:dyDescent="0.25">
      <c r="C6" s="13" t="s">
        <v>27</v>
      </c>
      <c r="D6" s="14">
        <v>7.8</v>
      </c>
      <c r="E6" s="15">
        <v>49658</v>
      </c>
    </row>
    <row r="7" spans="3:5" x14ac:dyDescent="0.25">
      <c r="C7" s="13" t="s">
        <v>28</v>
      </c>
      <c r="D7" s="14">
        <v>5.9</v>
      </c>
      <c r="E7" s="15">
        <v>25543</v>
      </c>
    </row>
    <row r="8" spans="3:5" x14ac:dyDescent="0.25">
      <c r="C8" s="13" t="s">
        <v>29</v>
      </c>
      <c r="D8" s="14">
        <v>8.1</v>
      </c>
      <c r="E8" s="15">
        <v>22066</v>
      </c>
    </row>
    <row r="9" spans="3:5" x14ac:dyDescent="0.25">
      <c r="C9" s="13" t="s">
        <v>30</v>
      </c>
      <c r="D9" s="14">
        <v>10.5</v>
      </c>
      <c r="E9" s="15">
        <v>34083</v>
      </c>
    </row>
    <row r="10" spans="3:5" x14ac:dyDescent="0.25">
      <c r="C10" s="13" t="s">
        <v>31</v>
      </c>
      <c r="D10" s="14">
        <v>10.27</v>
      </c>
      <c r="E10" s="15">
        <v>30431</v>
      </c>
    </row>
    <row r="11" spans="3:5" x14ac:dyDescent="0.25">
      <c r="C11" s="13" t="s">
        <v>32</v>
      </c>
      <c r="D11" s="14">
        <v>9.73</v>
      </c>
      <c r="E11" s="15">
        <v>22338</v>
      </c>
    </row>
    <row r="12" spans="3:5" x14ac:dyDescent="0.25">
      <c r="C12" s="13" t="s">
        <v>33</v>
      </c>
      <c r="D12" s="14">
        <v>8.4</v>
      </c>
      <c r="E12" s="15">
        <v>58895</v>
      </c>
    </row>
    <row r="13" spans="3:5" x14ac:dyDescent="0.25">
      <c r="C13" s="13" t="s">
        <v>34</v>
      </c>
      <c r="D13" s="14">
        <v>8.4</v>
      </c>
      <c r="E13" s="15">
        <v>61088</v>
      </c>
    </row>
    <row r="14" spans="3:5" x14ac:dyDescent="0.25">
      <c r="C14" s="13" t="s">
        <v>35</v>
      </c>
      <c r="D14" s="14">
        <v>9.1999999999999993</v>
      </c>
      <c r="E14" s="15">
        <v>56965</v>
      </c>
    </row>
    <row r="15" spans="3:5" x14ac:dyDescent="0.25">
      <c r="C15" s="13" t="s">
        <v>36</v>
      </c>
      <c r="D15" s="14">
        <v>11.1</v>
      </c>
      <c r="E15" s="15">
        <v>61319</v>
      </c>
    </row>
    <row r="16" spans="3:5" x14ac:dyDescent="0.25">
      <c r="C16" s="13" t="s">
        <v>37</v>
      </c>
      <c r="D16" s="14">
        <v>11.5</v>
      </c>
      <c r="E16" s="15">
        <v>61258</v>
      </c>
    </row>
    <row r="17" spans="3:5" x14ac:dyDescent="0.25">
      <c r="C17" s="13" t="s">
        <v>38</v>
      </c>
      <c r="D17" s="14">
        <v>10.6</v>
      </c>
      <c r="E17" s="15">
        <v>51775</v>
      </c>
    </row>
    <row r="18" spans="3:5" x14ac:dyDescent="0.25">
      <c r="C18" s="13" t="s">
        <v>39</v>
      </c>
      <c r="D18" s="14">
        <v>11.8</v>
      </c>
      <c r="E18" s="15">
        <v>94009</v>
      </c>
    </row>
    <row r="19" spans="3:5" x14ac:dyDescent="0.25">
      <c r="C19" s="13" t="s">
        <v>40</v>
      </c>
      <c r="D19" s="14">
        <v>12.3</v>
      </c>
      <c r="E19" s="15">
        <v>72693</v>
      </c>
    </row>
    <row r="20" spans="3:5" x14ac:dyDescent="0.25">
      <c r="C20" s="13" t="s">
        <v>41</v>
      </c>
      <c r="D20" s="14">
        <v>9.3000000000000007</v>
      </c>
      <c r="E20" s="15">
        <f>AVERAGE(E4:E9,E12:E19)</f>
        <v>53037.357142857145</v>
      </c>
    </row>
    <row r="21" spans="3:5" x14ac:dyDescent="0.25">
      <c r="C21" s="16" t="s">
        <v>42</v>
      </c>
      <c r="D21" s="17">
        <f>AVERAGE(D7,D8,D9,D10,D11)</f>
        <v>8.9</v>
      </c>
      <c r="E21" s="18">
        <f>AVERAGE(E7,E8,E9,E10,E11)</f>
        <v>26892.2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 y gas Bahia Blanca</vt:lpstr>
      <vt:lpstr>Pre y gas Argentina</vt:lpstr>
      <vt:lpstr>Tasas de salud</vt:lpstr>
      <vt:lpstr>Paises %PBi y PBI 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Valentino Pelliccetti</cp:lastModifiedBy>
  <dcterms:created xsi:type="dcterms:W3CDTF">2026-01-31T20:08:07Z</dcterms:created>
  <dcterms:modified xsi:type="dcterms:W3CDTF">2026-02-24T09:37:21Z</dcterms:modified>
</cp:coreProperties>
</file>